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Jéfferson\Documents\GIT\Aterramento\"/>
    </mc:Choice>
  </mc:AlternateContent>
  <bookViews>
    <workbookView xWindow="0" yWindow="0" windowWidth="28800" windowHeight="12330"/>
  </bookViews>
  <sheets>
    <sheet name="CC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7" i="2" l="1"/>
  <c r="Q55" i="2" l="1"/>
  <c r="O43" i="2"/>
  <c r="O50" i="2" l="1"/>
  <c r="O49" i="2"/>
  <c r="O42" i="2"/>
  <c r="O40" i="2"/>
  <c r="O41" i="2"/>
  <c r="O29" i="2"/>
  <c r="O34" i="2" l="1"/>
  <c r="O33" i="2"/>
  <c r="O31" i="2"/>
  <c r="O30" i="2"/>
  <c r="O46" i="2" l="1"/>
  <c r="O36" i="2"/>
  <c r="O38" i="2" s="1"/>
  <c r="O37" i="2"/>
  <c r="O22" i="2"/>
  <c r="O23" i="2" s="1"/>
  <c r="O21" i="2"/>
  <c r="O25" i="2" s="1"/>
  <c r="O39" i="2" l="1"/>
  <c r="O24" i="2"/>
  <c r="Q54" i="2" l="1"/>
  <c r="Q52" i="2"/>
  <c r="O26" i="2"/>
  <c r="Q53" i="2" s="1"/>
</calcChain>
</file>

<file path=xl/sharedStrings.xml><?xml version="1.0" encoding="utf-8"?>
<sst xmlns="http://schemas.openxmlformats.org/spreadsheetml/2006/main" count="146" uniqueCount="120">
  <si>
    <t>Parâmetro</t>
  </si>
  <si>
    <t>Equação</t>
  </si>
  <si>
    <t>Comentário</t>
  </si>
  <si>
    <t>Valor</t>
  </si>
  <si>
    <t>unid</t>
  </si>
  <si>
    <t>V</t>
  </si>
  <si>
    <t>A</t>
  </si>
  <si>
    <t>Ichcd</t>
  </si>
  <si>
    <t>Corrente de choque de curta duração</t>
  </si>
  <si>
    <t>t</t>
  </si>
  <si>
    <t>Tempo de atuação da proteção</t>
  </si>
  <si>
    <t>s</t>
  </si>
  <si>
    <t>Ep</t>
  </si>
  <si>
    <t>Tensão de passo permissível</t>
  </si>
  <si>
    <t>Rch</t>
  </si>
  <si>
    <t>Resistência do corpo humano</t>
  </si>
  <si>
    <t>Ω</t>
  </si>
  <si>
    <t>Rp</t>
  </si>
  <si>
    <r>
      <rPr>
        <sz val="11"/>
        <color theme="1"/>
        <rFont val="Calibri"/>
        <family val="2"/>
      </rPr>
      <t>ρ</t>
    </r>
    <r>
      <rPr>
        <sz val="9.35"/>
        <color theme="1"/>
        <rFont val="Calibri"/>
        <family val="2"/>
      </rPr>
      <t>1</t>
    </r>
  </si>
  <si>
    <t>ρ2</t>
  </si>
  <si>
    <t>ρs</t>
  </si>
  <si>
    <t>Resistividade da primeira camada</t>
  </si>
  <si>
    <t>Resistividade da segunda camada</t>
  </si>
  <si>
    <t>Ω.m</t>
  </si>
  <si>
    <t>C</t>
  </si>
  <si>
    <t>Fator de redução</t>
  </si>
  <si>
    <t>hs</t>
  </si>
  <si>
    <t>Espessura da camada superficial</t>
  </si>
  <si>
    <t>m</t>
  </si>
  <si>
    <t>Rmp</t>
  </si>
  <si>
    <t>Resistência mútua dos pés</t>
  </si>
  <si>
    <t>Resistência própria dos pés</t>
  </si>
  <si>
    <t>Etcd</t>
  </si>
  <si>
    <t>Etld</t>
  </si>
  <si>
    <t>Tensão de toque de curta duração</t>
  </si>
  <si>
    <t>Tensão de toque de longa duração</t>
  </si>
  <si>
    <t>Parâmetros máximos e seus correlatos</t>
  </si>
  <si>
    <t>Parâmetros projetados e seus correlatos</t>
  </si>
  <si>
    <t>ρ</t>
  </si>
  <si>
    <t>Resistividade utilizada</t>
  </si>
  <si>
    <t>Corrente de malha de curta duração</t>
  </si>
  <si>
    <t>Profundidade da malha</t>
  </si>
  <si>
    <t>H</t>
  </si>
  <si>
    <t>Dx</t>
  </si>
  <si>
    <t>Tamanho da malha na dimensão X</t>
  </si>
  <si>
    <t>Dy</t>
  </si>
  <si>
    <t>Tamanho da malha na dimensão Y</t>
  </si>
  <si>
    <t>Nx</t>
  </si>
  <si>
    <t>Ny</t>
  </si>
  <si>
    <t>Número de condutores na direção X</t>
  </si>
  <si>
    <t>Número de condutores na direção Y</t>
  </si>
  <si>
    <t>Distância entre os condutores na direção X</t>
  </si>
  <si>
    <t>Distância entre os condutores na direção Y</t>
  </si>
  <si>
    <t>Lt</t>
  </si>
  <si>
    <t>Comprimento total dos condutores enterrados</t>
  </si>
  <si>
    <t>d</t>
  </si>
  <si>
    <t>Diâmetro dos condutores da malha</t>
  </si>
  <si>
    <t>ki</t>
  </si>
  <si>
    <t>kii</t>
  </si>
  <si>
    <t>Vt</t>
  </si>
  <si>
    <t>Tensão de toque para i de longa duração</t>
  </si>
  <si>
    <t>Corrente de malha de longa duração</t>
  </si>
  <si>
    <t>Vp</t>
  </si>
  <si>
    <t>Tensão de passo máxima</t>
  </si>
  <si>
    <t>Kmx</t>
  </si>
  <si>
    <t>Kmy</t>
  </si>
  <si>
    <t>Ksx</t>
  </si>
  <si>
    <t>Tensão de toque para i de curta duração</t>
  </si>
  <si>
    <t>ki = 0,656 + 0,172 * maior(Nx,Ny)</t>
  </si>
  <si>
    <t>kii = 2n^(-2/n) ou 1 se hastes na periferia da malha</t>
  </si>
  <si>
    <t>Constantes do sistema</t>
  </si>
  <si>
    <t>Conforme ABNT NBR 15751</t>
  </si>
  <si>
    <t>ρ1 se (ρ2&lt;ρ1) ou ρa se (ρ2&gt;ρ1)</t>
  </si>
  <si>
    <t>Lx</t>
  </si>
  <si>
    <t>Ly</t>
  </si>
  <si>
    <t>Dx=Lx/(Nx-1)</t>
  </si>
  <si>
    <t>Dy=Ly/(Ny-1)</t>
  </si>
  <si>
    <t>Lt = Nx*Ly + Ny*Lx</t>
  </si>
  <si>
    <t>Ksy</t>
  </si>
  <si>
    <t>Teste de adequação dos parâmetros escolhidos</t>
  </si>
  <si>
    <t>Cálculo da resistência de aterramento</t>
  </si>
  <si>
    <t>Rcm</t>
  </si>
  <si>
    <t>Resistência da malha de terra</t>
  </si>
  <si>
    <t>ρa</t>
  </si>
  <si>
    <t>Resistividade do recobrimento</t>
  </si>
  <si>
    <t>Rh</t>
  </si>
  <si>
    <t>Resistência da associação das hastes</t>
  </si>
  <si>
    <t>Calculado por software</t>
  </si>
  <si>
    <t>Rmu</t>
  </si>
  <si>
    <t>Resistência mútua dos eletrodos e hastes verticais</t>
  </si>
  <si>
    <t>Nh</t>
  </si>
  <si>
    <t>Lh</t>
  </si>
  <si>
    <t>Número de hastes</t>
  </si>
  <si>
    <t>Comprimeiro das hastes</t>
  </si>
  <si>
    <t>Rtm</t>
  </si>
  <si>
    <t>Resistência total da malha</t>
  </si>
  <si>
    <t>Tensão de passo menor que a tensão máxima de passo</t>
  </si>
  <si>
    <t>Ep&gt;Vp</t>
  </si>
  <si>
    <t>Etcd&gt;Vt</t>
  </si>
  <si>
    <t>Tensão de toque menor que a tensão máxima de toque, curta duração</t>
  </si>
  <si>
    <t>Tensão de toque menor que a tensão máxima de toque, longa duração</t>
  </si>
  <si>
    <t>Etld&gt;Vt</t>
  </si>
  <si>
    <t>MAMEDE FILHO, J. Instalações Elétricas Industriais – LTC – 9a ed., 2017</t>
  </si>
  <si>
    <t>Portanto, dado os parâmetros mostrados neste memorial, as dimensões e arranjo da malha se mostram adequadas</t>
  </si>
  <si>
    <t>Smin</t>
  </si>
  <si>
    <t>mm2</t>
  </si>
  <si>
    <t>Kf</t>
  </si>
  <si>
    <t>Tabela 3 ABNT NBR 7117-1</t>
  </si>
  <si>
    <t>Constante para conexões utilizadas</t>
  </si>
  <si>
    <t>Seção mínima do condutor de aterramento</t>
  </si>
  <si>
    <t>Área do condutor de proteção mínimo menor que o adotado</t>
  </si>
  <si>
    <t>Smin&lt;50</t>
  </si>
  <si>
    <t>Cordoalha 50mm²</t>
  </si>
  <si>
    <t>Tabela 5 ABNT NBR 15751</t>
  </si>
  <si>
    <t>Anexo A NBR 15751</t>
  </si>
  <si>
    <t>Resistividade aparente do solo</t>
  </si>
  <si>
    <t>ABNT NBR 15751</t>
  </si>
  <si>
    <t>If</t>
  </si>
  <si>
    <t>Ichld</t>
  </si>
  <si>
    <t>Tabela 4 ABNT NBR 15751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</si>
</sst>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.35"/>
      <color theme="1"/>
      <name val="Calibri"/>
      <family val="2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/>
    </xf>
    <xf numFmtId="2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65" fontId="0" fillId="0" borderId="2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314325</xdr:colOff>
      <xdr:row>24</xdr:row>
      <xdr:rowOff>0</xdr:rowOff>
    </xdr:from>
    <xdr:ext cx="65" cy="172227"/>
    <xdr:sp macro="" textlink="">
      <xdr:nvSpPr>
        <xdr:cNvPr id="4" name="CaixaDeTexto 3"/>
        <xdr:cNvSpPr txBox="1"/>
      </xdr:nvSpPr>
      <xdr:spPr>
        <a:xfrm>
          <a:off x="1009090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266700</xdr:colOff>
      <xdr:row>24</xdr:row>
      <xdr:rowOff>0</xdr:rowOff>
    </xdr:from>
    <xdr:ext cx="65" cy="172227"/>
    <xdr:sp macro="" textlink="">
      <xdr:nvSpPr>
        <xdr:cNvPr id="5" name="CaixaDeTexto 4"/>
        <xdr:cNvSpPr txBox="1"/>
      </xdr:nvSpPr>
      <xdr:spPr>
        <a:xfrm>
          <a:off x="961465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104775</xdr:colOff>
      <xdr:row>24</xdr:row>
      <xdr:rowOff>0</xdr:rowOff>
    </xdr:from>
    <xdr:ext cx="65" cy="172227"/>
    <xdr:sp macro="" textlink="">
      <xdr:nvSpPr>
        <xdr:cNvPr id="9" name="CaixaDeTexto 8"/>
        <xdr:cNvSpPr txBox="1"/>
      </xdr:nvSpPr>
      <xdr:spPr>
        <a:xfrm>
          <a:off x="799540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47625</xdr:colOff>
      <xdr:row>24</xdr:row>
      <xdr:rowOff>0</xdr:rowOff>
    </xdr:from>
    <xdr:ext cx="65" cy="172227"/>
    <xdr:sp macro="" textlink="">
      <xdr:nvSpPr>
        <xdr:cNvPr id="10" name="CaixaDeTexto 9"/>
        <xdr:cNvSpPr txBox="1"/>
      </xdr:nvSpPr>
      <xdr:spPr>
        <a:xfrm>
          <a:off x="742390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228600</xdr:colOff>
      <xdr:row>24</xdr:row>
      <xdr:rowOff>0</xdr:rowOff>
    </xdr:from>
    <xdr:ext cx="65" cy="172227"/>
    <xdr:sp macro="" textlink="">
      <xdr:nvSpPr>
        <xdr:cNvPr id="16" name="CaixaDeTexto 15"/>
        <xdr:cNvSpPr txBox="1"/>
      </xdr:nvSpPr>
      <xdr:spPr>
        <a:xfrm>
          <a:off x="923365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247650</xdr:colOff>
      <xdr:row>24</xdr:row>
      <xdr:rowOff>0</xdr:rowOff>
    </xdr:from>
    <xdr:ext cx="65" cy="172227"/>
    <xdr:sp macro="" textlink="">
      <xdr:nvSpPr>
        <xdr:cNvPr id="20" name="CaixaDeTexto 19"/>
        <xdr:cNvSpPr txBox="1"/>
      </xdr:nvSpPr>
      <xdr:spPr>
        <a:xfrm>
          <a:off x="942415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133350</xdr:colOff>
      <xdr:row>24</xdr:row>
      <xdr:rowOff>0</xdr:rowOff>
    </xdr:from>
    <xdr:ext cx="65" cy="172227"/>
    <xdr:sp macro="" textlink="">
      <xdr:nvSpPr>
        <xdr:cNvPr id="23" name="CaixaDeTexto 22"/>
        <xdr:cNvSpPr txBox="1"/>
      </xdr:nvSpPr>
      <xdr:spPr>
        <a:xfrm>
          <a:off x="828115" y="1143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1</xdr:col>
      <xdr:colOff>275664</xdr:colOff>
      <xdr:row>21</xdr:row>
      <xdr:rowOff>39782</xdr:rowOff>
    </xdr:from>
    <xdr:ext cx="1991285" cy="4331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/>
            <xdr:cNvSpPr txBox="1"/>
          </xdr:nvSpPr>
          <xdr:spPr>
            <a:xfrm>
              <a:off x="618564" y="4687982"/>
              <a:ext cx="1991285" cy="4331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pt-BR" sz="1000" b="0" i="1">
                        <a:latin typeface="Cambria Math" panose="02040503050406030204" pitchFamily="18" charset="0"/>
                      </a:rPr>
                      <m:t>=1−0,106∗</m:t>
                    </m:r>
                    <m:d>
                      <m:dPr>
                        <m:begChr m:val="["/>
                        <m:endChr m:val="]"/>
                        <m:ctrlPr>
                          <a:rPr lang="pt-BR" sz="1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pt-BR" sz="10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f>
                              <m:fPr>
                                <m:ctrlPr>
                                  <a:rPr lang="pt-BR" sz="10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pt-BR" sz="10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𝜌</m:t>
                                </m:r>
                                <m:r>
                                  <a:rPr lang="pt-BR" sz="10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pt-BR" sz="10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𝜌</m:t>
                                </m:r>
                                <m:r>
                                  <a:rPr lang="pt-BR" sz="10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𝑠</m:t>
                                </m:r>
                              </m:den>
                            </m:f>
                          </m:num>
                          <m:den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2∗</m:t>
                            </m:r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h𝑠</m:t>
                            </m:r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+0,106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GB" sz="1000"/>
            </a:p>
          </xdr:txBody>
        </xdr:sp>
      </mc:Choice>
      <mc:Fallback xmlns="">
        <xdr:sp macro="" textlink="">
          <xdr:nvSpPr>
            <xdr:cNvPr id="11" name="CaixaDeTexto 10"/>
            <xdr:cNvSpPr txBox="1"/>
          </xdr:nvSpPr>
          <xdr:spPr>
            <a:xfrm>
              <a:off x="618564" y="4687982"/>
              <a:ext cx="1991285" cy="4331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000" b="0" i="0">
                  <a:latin typeface="Cambria Math" panose="02040503050406030204" pitchFamily="18" charset="0"/>
                </a:rPr>
                <a:t>𝐶=1−0,106∗[(1−</a:t>
              </a:r>
              <a:r>
                <a:rPr lang="pt-B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𝜌1/𝜌𝑠)/(</a:t>
              </a:r>
              <a:r>
                <a:rPr lang="pt-BR" sz="1000" b="0" i="0">
                  <a:latin typeface="Cambria Math" panose="02040503050406030204" pitchFamily="18" charset="0"/>
                </a:rPr>
                <a:t>2∗ℎ𝑠+0,106)]</a:t>
              </a:r>
              <a:endParaRPr lang="en-GB" sz="1000"/>
            </a:p>
          </xdr:txBody>
        </xdr:sp>
      </mc:Fallback>
    </mc:AlternateContent>
    <xdr:clientData/>
  </xdr:oneCellAnchor>
  <xdr:oneCellAnchor>
    <xdr:from>
      <xdr:col>2</xdr:col>
      <xdr:colOff>219636</xdr:colOff>
      <xdr:row>20</xdr:row>
      <xdr:rowOff>29136</xdr:rowOff>
    </xdr:from>
    <xdr:ext cx="904670" cy="3571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ixaDeTexto 11"/>
            <xdr:cNvSpPr txBox="1"/>
          </xdr:nvSpPr>
          <xdr:spPr>
            <a:xfrm>
              <a:off x="905436" y="4220136"/>
              <a:ext cx="904670" cy="3571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𝐼𝑐h𝑐𝑑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0,116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2" name="CaixaDeTexto 11"/>
            <xdr:cNvSpPr txBox="1"/>
          </xdr:nvSpPr>
          <xdr:spPr>
            <a:xfrm>
              <a:off x="905436" y="4220136"/>
              <a:ext cx="904670" cy="3571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𝐼𝑐ℎ𝑐𝑑=0,116/√𝑡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313766</xdr:colOff>
      <xdr:row>24</xdr:row>
      <xdr:rowOff>11206</xdr:rowOff>
    </xdr:from>
    <xdr:ext cx="1848970" cy="156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aixaDeTexto 12"/>
            <xdr:cNvSpPr txBox="1"/>
          </xdr:nvSpPr>
          <xdr:spPr>
            <a:xfrm>
              <a:off x="661148" y="5939118"/>
              <a:ext cx="1848970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00" b="0" i="1">
                        <a:latin typeface="Cambria Math" panose="02040503050406030204" pitchFamily="18" charset="0"/>
                      </a:rPr>
                      <m:t>𝐸𝑝</m:t>
                    </m:r>
                    <m:r>
                      <a:rPr lang="pt-BR" sz="10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pt-BR" sz="1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𝑅𝑐h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+6∗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</m:t>
                        </m:r>
                      </m:e>
                    </m:d>
                    <m:r>
                      <a:rPr lang="pt-BR" sz="10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000" b="0" i="1">
                        <a:latin typeface="Cambria Math" panose="02040503050406030204" pitchFamily="18" charset="0"/>
                      </a:rPr>
                      <m:t>𝐼𝑐h𝑐𝑑</m:t>
                    </m:r>
                  </m:oMath>
                </m:oMathPara>
              </a14:m>
              <a:endParaRPr lang="en-GB" sz="1000"/>
            </a:p>
          </xdr:txBody>
        </xdr:sp>
      </mc:Choice>
      <mc:Fallback xmlns="">
        <xdr:sp macro="" textlink="">
          <xdr:nvSpPr>
            <xdr:cNvPr id="13" name="CaixaDeTexto 12"/>
            <xdr:cNvSpPr txBox="1"/>
          </xdr:nvSpPr>
          <xdr:spPr>
            <a:xfrm>
              <a:off x="661148" y="5939118"/>
              <a:ext cx="1848970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000" b="0" i="0">
                  <a:latin typeface="Cambria Math" panose="02040503050406030204" pitchFamily="18" charset="0"/>
                </a:rPr>
                <a:t>𝐸𝑝=(𝑅𝑐ℎ+6∗</a:t>
              </a:r>
              <a:r>
                <a:rPr lang="pt-B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𝜌𝑠∗𝐶)</a:t>
              </a:r>
              <a:r>
                <a:rPr lang="pt-BR" sz="1000" b="0" i="0">
                  <a:latin typeface="Cambria Math" panose="02040503050406030204" pitchFamily="18" charset="0"/>
                </a:rPr>
                <a:t>∗𝐼𝑐ℎ𝑐𝑑</a:t>
              </a:r>
              <a:endParaRPr lang="en-GB" sz="1000"/>
            </a:p>
          </xdr:txBody>
        </xdr:sp>
      </mc:Fallback>
    </mc:AlternateContent>
    <xdr:clientData/>
  </xdr:oneCellAnchor>
  <xdr:oneCellAnchor>
    <xdr:from>
      <xdr:col>2</xdr:col>
      <xdr:colOff>80682</xdr:colOff>
      <xdr:row>22</xdr:row>
      <xdr:rowOff>52667</xdr:rowOff>
    </xdr:from>
    <xdr:ext cx="1296765" cy="3136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/>
            <xdr:cNvSpPr txBox="1"/>
          </xdr:nvSpPr>
          <xdr:spPr>
            <a:xfrm>
              <a:off x="775447" y="4736726"/>
              <a:ext cx="1296765" cy="3136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𝑅𝑝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num>
                          <m:den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4∗0,083</m:t>
                            </m:r>
                          </m:den>
                        </m:f>
                      </m:e>
                    </m:d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𝐶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CaixaDeTexto 1"/>
            <xdr:cNvSpPr txBox="1"/>
          </xdr:nvSpPr>
          <xdr:spPr>
            <a:xfrm>
              <a:off x="775447" y="4736726"/>
              <a:ext cx="1296765" cy="3136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𝑅𝑝=(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𝜌𝑠/(</a:t>
              </a:r>
              <a:r>
                <a:rPr lang="pt-BR" sz="1100" b="0" i="0">
                  <a:latin typeface="Cambria Math" panose="02040503050406030204" pitchFamily="18" charset="0"/>
                </a:rPr>
                <a:t>4∗0,083))∗𝐶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125506</xdr:colOff>
      <xdr:row>23</xdr:row>
      <xdr:rowOff>35858</xdr:rowOff>
    </xdr:from>
    <xdr:ext cx="1100814" cy="3183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/>
            <xdr:cNvSpPr txBox="1"/>
          </xdr:nvSpPr>
          <xdr:spPr>
            <a:xfrm>
              <a:off x="820271" y="5145740"/>
              <a:ext cx="1100814" cy="3183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𝑅𝑚𝑝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𝑅𝑝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CaixaDeTexto 2"/>
            <xdr:cNvSpPr txBox="1"/>
          </xdr:nvSpPr>
          <xdr:spPr>
            <a:xfrm>
              <a:off x="820271" y="5145740"/>
              <a:ext cx="1100814" cy="3183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𝑅𝑚𝑝=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𝜌𝑠/(</a:t>
              </a:r>
              <a:r>
                <a:rPr lang="pt-BR" sz="1100" b="0" i="0">
                  <a:latin typeface="Cambria Math" panose="02040503050406030204" pitchFamily="18" charset="0"/>
                </a:rPr>
                <a:t>2∗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𝜋∗𝑅𝑝)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248771</xdr:colOff>
      <xdr:row>24</xdr:row>
      <xdr:rowOff>332814</xdr:rowOff>
    </xdr:from>
    <xdr:ext cx="1824318" cy="4811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/>
            <xdr:cNvSpPr txBox="1"/>
          </xdr:nvSpPr>
          <xdr:spPr>
            <a:xfrm>
              <a:off x="596153" y="5857314"/>
              <a:ext cx="1824318" cy="4811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𝐸𝑡𝑐𝑑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𝑅𝑐h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𝑅𝑝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𝑅𝑚𝑝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𝐼𝑐h𝑐𝑑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CaixaDeTexto 5"/>
            <xdr:cNvSpPr txBox="1"/>
          </xdr:nvSpPr>
          <xdr:spPr>
            <a:xfrm>
              <a:off x="596153" y="5857314"/>
              <a:ext cx="1824318" cy="4811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𝐸𝑡𝑐𝑑=𝑅𝑐ℎ∗(𝑅𝑝+𝑅𝑚𝑝)/2∗𝐼𝑐ℎ𝑐𝑑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244288</xdr:colOff>
      <xdr:row>25</xdr:row>
      <xdr:rowOff>485215</xdr:rowOff>
    </xdr:from>
    <xdr:ext cx="1824318" cy="4811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aixaDeTexto 14"/>
            <xdr:cNvSpPr txBox="1"/>
          </xdr:nvSpPr>
          <xdr:spPr>
            <a:xfrm>
              <a:off x="591670" y="6345891"/>
              <a:ext cx="1824318" cy="4811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𝐸𝑡𝑐𝑑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𝑅𝑐h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𝑅𝑝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𝑅𝑚𝑝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𝐼𝑐h𝑐𝑑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5" name="CaixaDeTexto 14"/>
            <xdr:cNvSpPr txBox="1"/>
          </xdr:nvSpPr>
          <xdr:spPr>
            <a:xfrm>
              <a:off x="591670" y="6345891"/>
              <a:ext cx="1824318" cy="4811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𝐸𝑡𝑐𝑑=𝑅𝑐ℎ∗(𝑅𝑝+𝑅𝑚𝑝)/2∗𝐼𝑐ℎ𝑐𝑑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69477</xdr:colOff>
      <xdr:row>35</xdr:row>
      <xdr:rowOff>35860</xdr:rowOff>
    </xdr:from>
    <xdr:ext cx="3964640" cy="3139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/>
            <xdr:cNvSpPr txBox="1"/>
          </xdr:nvSpPr>
          <xdr:spPr>
            <a:xfrm>
              <a:off x="764242" y="8361831"/>
              <a:ext cx="3964640" cy="3139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900" b="0" i="1">
                        <a:latin typeface="Cambria Math" panose="02040503050406030204" pitchFamily="18" charset="0"/>
                      </a:rPr>
                      <m:t>𝑘𝑚</m:t>
                    </m:r>
                    <m:r>
                      <a:rPr lang="pt-BR" sz="9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9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2∗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den>
                    </m:f>
                    <m:d>
                      <m:dPr>
                        <m:begChr m:val="["/>
                        <m:endChr m:val="]"/>
                        <m:ctrlPr>
                          <a:rPr lang="pt-BR" sz="9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unc>
                          <m:funcPr>
                            <m:ctrlPr>
                              <a:rPr lang="pt-BR" sz="9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pt-BR" sz="900" b="0" i="0"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</m:e>
                                      <m:sup>
                                        <m: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num>
                                  <m:den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16∗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∗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den>
                                </m:f>
                                <m:r>
                                  <a:rPr lang="pt-BR" sz="9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f>
                                  <m:fPr>
                                    <m:ctrlP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d>
                                          <m:dPr>
                                            <m:ctrlPr>
                                              <a:rPr lang="pt-BR" sz="9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pt-BR" sz="9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𝐷</m:t>
                                            </m:r>
                                            <m:r>
                                              <a:rPr lang="pt-BR" sz="9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+2∗</m:t>
                                            </m:r>
                                            <m:r>
                                              <a:rPr lang="pt-BR" sz="9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𝐻</m:t>
                                            </m:r>
                                          </m:e>
                                        </m:d>
                                      </m:e>
                                      <m:sup>
                                        <m: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num>
                                  <m:den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8∗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𝐷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∗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den>
                                </m:f>
                                <m:r>
                                  <a:rPr lang="pt-BR" sz="9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f>
                                  <m:fPr>
                                    <m:ctrlP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</m:t>
                                    </m:r>
                                  </m:num>
                                  <m:den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4</m:t>
                                    </m:r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𝑑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pt-BR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900" b="0" i="1">
                                <a:latin typeface="Cambria Math" panose="02040503050406030204" pitchFamily="18" charset="0"/>
                              </a:rPr>
                              <m:t>𝑘𝑖𝑖</m:t>
                            </m:r>
                          </m:num>
                          <m:den>
                            <m:rad>
                              <m:radPr>
                                <m:degHide m:val="on"/>
                                <m:ctrlP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  <m:t>1+</m:t>
                                </m:r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</m:rad>
                          </m:den>
                        </m:f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𝑙𝑛</m:t>
                        </m:r>
                        <m:d>
                          <m:dPr>
                            <m:ctrlPr>
                              <a:rPr lang="pt-BR" sz="9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</a:rPr>
                                  <m:t>8</m:t>
                                </m:r>
                              </m:num>
                              <m:den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(2</m:t>
                                </m:r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lang="pt-BR" sz="9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−1)</m:t>
                                </m:r>
                              </m:den>
                            </m:f>
                          </m:e>
                        </m:d>
                      </m:e>
                    </m:d>
                  </m:oMath>
                </m:oMathPara>
              </a14:m>
              <a:endParaRPr lang="en-GB" sz="900"/>
            </a:p>
          </xdr:txBody>
        </xdr:sp>
      </mc:Choice>
      <mc:Fallback xmlns="">
        <xdr:sp macro="" textlink="">
          <xdr:nvSpPr>
            <xdr:cNvPr id="7" name="CaixaDeTexto 6"/>
            <xdr:cNvSpPr txBox="1"/>
          </xdr:nvSpPr>
          <xdr:spPr>
            <a:xfrm>
              <a:off x="764242" y="8361831"/>
              <a:ext cx="3964640" cy="3139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900" b="0" i="0">
                  <a:latin typeface="Cambria Math" panose="02040503050406030204" pitchFamily="18" charset="0"/>
                </a:rPr>
                <a:t>𝑘𝑚=1/(2∗</a:t>
              </a:r>
              <a:r>
                <a:rPr lang="pt-B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𝜋) </a:t>
              </a:r>
              <a:r>
                <a:rPr lang="pt-BR" sz="900" b="0" i="0">
                  <a:latin typeface="Cambria Math" panose="02040503050406030204" pitchFamily="18" charset="0"/>
                </a:rPr>
                <a:t>[ln⁡(</a:t>
              </a:r>
              <a:r>
                <a:rPr lang="pt-B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𝐷^2/(16∗𝐻∗𝑑)+(𝐷+2∗𝐻)^2/(8∗𝐷∗𝑑)−𝐻/4𝑑)</a:t>
              </a:r>
              <a:r>
                <a:rPr lang="pt-BR" sz="900" b="0" i="0">
                  <a:latin typeface="Cambria Math" panose="02040503050406030204" pitchFamily="18" charset="0"/>
                </a:rPr>
                <a:t>+𝑘𝑖𝑖/√(1+𝐻)∗𝑙𝑛(8/(</a:t>
              </a:r>
              <a:r>
                <a:rPr lang="pt-BR" sz="9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𝜋(2𝑛−1)))]</a:t>
              </a:r>
              <a:endParaRPr lang="en-GB" sz="900"/>
            </a:p>
          </xdr:txBody>
        </xdr:sp>
      </mc:Fallback>
    </mc:AlternateContent>
    <xdr:clientData/>
  </xdr:oneCellAnchor>
  <xdr:oneCellAnchor>
    <xdr:from>
      <xdr:col>2</xdr:col>
      <xdr:colOff>47065</xdr:colOff>
      <xdr:row>37</xdr:row>
      <xdr:rowOff>69476</xdr:rowOff>
    </xdr:from>
    <xdr:ext cx="1364876" cy="2921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/>
            <xdr:cNvSpPr txBox="1"/>
          </xdr:nvSpPr>
          <xdr:spPr>
            <a:xfrm>
              <a:off x="741830" y="9224682"/>
              <a:ext cx="1364876" cy="292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00" b="0" i="1">
                        <a:latin typeface="Cambria Math" panose="02040503050406030204" pitchFamily="18" charset="0"/>
                      </a:rPr>
                      <m:t>𝑉𝑡</m:t>
                    </m:r>
                    <m:r>
                      <a:rPr lang="pt-BR" sz="1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𝐼𝑚𝑐𝑑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𝐾𝑚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𝐾𝑖</m:t>
                        </m:r>
                      </m:num>
                      <m:den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𝐿𝑡</m:t>
                        </m:r>
                      </m:den>
                    </m:f>
                  </m:oMath>
                </m:oMathPara>
              </a14:m>
              <a:endParaRPr lang="en-GB" sz="1000"/>
            </a:p>
          </xdr:txBody>
        </xdr:sp>
      </mc:Choice>
      <mc:Fallback xmlns="">
        <xdr:sp macro="" textlink="">
          <xdr:nvSpPr>
            <xdr:cNvPr id="8" name="CaixaDeTexto 7"/>
            <xdr:cNvSpPr txBox="1"/>
          </xdr:nvSpPr>
          <xdr:spPr>
            <a:xfrm>
              <a:off x="741830" y="9224682"/>
              <a:ext cx="1364876" cy="292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000" b="0" i="0">
                  <a:latin typeface="Cambria Math" panose="02040503050406030204" pitchFamily="18" charset="0"/>
                </a:rPr>
                <a:t>𝑉𝑡=(</a:t>
              </a:r>
              <a:r>
                <a:rPr lang="pt-B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𝜌∗𝐼𝑚𝑐𝑑∗𝐾𝑚∗𝐾𝑖)/</a:t>
              </a:r>
              <a:r>
                <a:rPr lang="pt-BR" sz="1000" b="0" i="0">
                  <a:latin typeface="Cambria Math" panose="02040503050406030204" pitchFamily="18" charset="0"/>
                </a:rPr>
                <a:t>𝐿𝑡</a:t>
              </a:r>
              <a:endParaRPr lang="en-GB" sz="1000"/>
            </a:p>
          </xdr:txBody>
        </xdr:sp>
      </mc:Fallback>
    </mc:AlternateContent>
    <xdr:clientData/>
  </xdr:oneCellAnchor>
  <xdr:oneCellAnchor>
    <xdr:from>
      <xdr:col>3</xdr:col>
      <xdr:colOff>338417</xdr:colOff>
      <xdr:row>39</xdr:row>
      <xdr:rowOff>13449</xdr:rowOff>
    </xdr:from>
    <xdr:ext cx="2619936" cy="3225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aixaDeTexto 13"/>
            <xdr:cNvSpPr txBox="1"/>
          </xdr:nvSpPr>
          <xdr:spPr>
            <a:xfrm>
              <a:off x="1380564" y="9807390"/>
              <a:ext cx="2619936" cy="3225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𝐾𝑠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den>
                    </m:f>
                    <m:d>
                      <m:dPr>
                        <m:begChr m:val="["/>
                        <m:endChr m:val="]"/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den>
                        </m:f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den>
                        </m:f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den>
                        </m:f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0,5</m:t>
                                </m:r>
                              </m:e>
                              <m:sup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−2</m:t>
                                </m:r>
                              </m:sup>
                            </m:sSup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4" name="CaixaDeTexto 13"/>
            <xdr:cNvSpPr txBox="1"/>
          </xdr:nvSpPr>
          <xdr:spPr>
            <a:xfrm>
              <a:off x="1380564" y="9807390"/>
              <a:ext cx="2619936" cy="3225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𝐾𝑠=1/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</a:t>
              </a:r>
              <a:r>
                <a:rPr lang="pt-BR" sz="1100" b="0" i="0">
                  <a:latin typeface="Cambria Math" panose="02040503050406030204" pitchFamily="18" charset="0"/>
                </a:rPr>
                <a:t>[1/2𝐻+1/(𝐷+𝐻)+1/𝐷 (1−〖0,5〗^(𝑛−2) )]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311525</xdr:colOff>
      <xdr:row>41</xdr:row>
      <xdr:rowOff>29134</xdr:rowOff>
    </xdr:from>
    <xdr:ext cx="1571064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aixaDeTexto 18"/>
            <xdr:cNvSpPr txBox="1"/>
          </xdr:nvSpPr>
          <xdr:spPr>
            <a:xfrm>
              <a:off x="658907" y="10304928"/>
              <a:ext cx="1571064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𝑉𝑝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𝐼𝑚𝑙𝑑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𝐾𝑖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𝐿𝑡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9" name="CaixaDeTexto 18"/>
            <xdr:cNvSpPr txBox="1"/>
          </xdr:nvSpPr>
          <xdr:spPr>
            <a:xfrm>
              <a:off x="658907" y="10304928"/>
              <a:ext cx="1571064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𝑉𝑝=(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𝜌∗𝐼𝑚𝑙𝑑∗𝐾𝑠∗𝐾𝑖)/</a:t>
              </a:r>
              <a:r>
                <a:rPr lang="pt-BR" sz="1100" b="0" i="0">
                  <a:latin typeface="Cambria Math" panose="02040503050406030204" pitchFamily="18" charset="0"/>
                </a:rPr>
                <a:t>𝐿𝑡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8965</xdr:colOff>
      <xdr:row>38</xdr:row>
      <xdr:rowOff>42582</xdr:rowOff>
    </xdr:from>
    <xdr:ext cx="1364876" cy="2921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aixaDeTexto 20"/>
            <xdr:cNvSpPr txBox="1"/>
          </xdr:nvSpPr>
          <xdr:spPr>
            <a:xfrm>
              <a:off x="703730" y="9601200"/>
              <a:ext cx="1364876" cy="292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00" b="0" i="1">
                        <a:latin typeface="Cambria Math" panose="02040503050406030204" pitchFamily="18" charset="0"/>
                      </a:rPr>
                      <m:t>𝑉𝑡</m:t>
                    </m:r>
                    <m:r>
                      <a:rPr lang="pt-BR" sz="1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𝐼𝑚𝑙𝑑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𝐾𝑚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𝐾𝑖</m:t>
                        </m:r>
                      </m:num>
                      <m:den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𝐿𝑡</m:t>
                        </m:r>
                      </m:den>
                    </m:f>
                  </m:oMath>
                </m:oMathPara>
              </a14:m>
              <a:endParaRPr lang="en-GB" sz="1000"/>
            </a:p>
          </xdr:txBody>
        </xdr:sp>
      </mc:Choice>
      <mc:Fallback xmlns="">
        <xdr:sp macro="" textlink="">
          <xdr:nvSpPr>
            <xdr:cNvPr id="21" name="CaixaDeTexto 20"/>
            <xdr:cNvSpPr txBox="1"/>
          </xdr:nvSpPr>
          <xdr:spPr>
            <a:xfrm>
              <a:off x="703730" y="9601200"/>
              <a:ext cx="1364876" cy="292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000" b="0" i="0">
                  <a:latin typeface="Cambria Math" panose="02040503050406030204" pitchFamily="18" charset="0"/>
                </a:rPr>
                <a:t>𝑉𝑡=(</a:t>
              </a:r>
              <a:r>
                <a:rPr lang="pt-B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𝜌∗𝐼𝑚𝑙𝑑∗𝐾𝑚∗𝐾𝑖)/</a:t>
              </a:r>
              <a:r>
                <a:rPr lang="pt-BR" sz="1000" b="0" i="0">
                  <a:latin typeface="Cambria Math" panose="02040503050406030204" pitchFamily="18" charset="0"/>
                </a:rPr>
                <a:t>𝐿𝑡</a:t>
              </a:r>
              <a:endParaRPr lang="en-GB" sz="1000"/>
            </a:p>
          </xdr:txBody>
        </xdr:sp>
      </mc:Fallback>
    </mc:AlternateContent>
    <xdr:clientData/>
  </xdr:oneCellAnchor>
  <xdr:oneCellAnchor>
    <xdr:from>
      <xdr:col>0</xdr:col>
      <xdr:colOff>270062</xdr:colOff>
      <xdr:row>44</xdr:row>
      <xdr:rowOff>41462</xdr:rowOff>
    </xdr:from>
    <xdr:ext cx="5142379" cy="5202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aixaDeTexto 21"/>
            <xdr:cNvSpPr txBox="1"/>
          </xdr:nvSpPr>
          <xdr:spPr>
            <a:xfrm>
              <a:off x="270062" y="11068050"/>
              <a:ext cx="5142379" cy="5202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50" b="0" i="1">
                        <a:latin typeface="Cambria Math" panose="02040503050406030204" pitchFamily="18" charset="0"/>
                      </a:rPr>
                      <m:t>𝑅𝑚</m:t>
                    </m:r>
                    <m:r>
                      <a:rPr lang="pt-BR" sz="105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05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𝜌</m:t>
                    </m:r>
                    <m:r>
                      <a:rPr lang="pt-BR" sz="105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begChr m:val="{"/>
                        <m:endChr m:val="}"/>
                        <m:ctrlPr>
                          <a:rPr lang="pt-BR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𝐿𝑡</m:t>
                            </m:r>
                          </m:den>
                        </m:f>
                        <m:r>
                          <a:rPr lang="pt-BR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ad>
                              <m:radPr>
                                <m:degHide m:val="on"/>
                                <m:ctrlP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20∗</m:t>
                                </m:r>
                                <m: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𝐿𝑥</m:t>
                                </m:r>
                                <m: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  <m: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𝐿𝑦</m:t>
                                </m:r>
                              </m:e>
                            </m:rad>
                          </m:den>
                        </m:f>
                        <m:r>
                          <a:rPr lang="pt-BR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1+</m:t>
                            </m:r>
                            <m:d>
                              <m:dPr>
                                <m:ctrlPr>
                                  <a:rPr lang="pt-BR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pt-BR" sz="105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pt-BR" sz="105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</m:t>
                                    </m:r>
                                  </m:num>
                                  <m:den>
                                    <m:r>
                                      <a:rPr lang="pt-BR" sz="105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1+</m:t>
                                    </m:r>
                                    <m:r>
                                      <a:rPr lang="pt-BR" sz="105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𝐻</m:t>
                                    </m:r>
                                    <m:r>
                                      <a:rPr lang="pt-BR" sz="105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∗</m:t>
                                    </m:r>
                                    <m:rad>
                                      <m:radPr>
                                        <m:degHide m:val="on"/>
                                        <m:ctrlPr>
                                          <a:rPr lang="pt-BR" sz="105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radPr>
                                      <m:deg/>
                                      <m:e>
                                        <m:f>
                                          <m:fPr>
                                            <m:ctrlPr>
                                              <a:rPr lang="pt-BR" sz="105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fPr>
                                          <m:num>
                                            <m:r>
                                              <a:rPr lang="pt-BR" sz="105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20</m:t>
                                            </m:r>
                                          </m:num>
                                          <m:den>
                                            <m:r>
                                              <a:rPr lang="pt-BR" sz="105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𝐿𝑥</m:t>
                                            </m:r>
                                            <m:r>
                                              <a:rPr lang="pt-BR" sz="105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∗</m:t>
                                            </m:r>
                                            <m:r>
                                              <a:rPr lang="pt-BR" sz="105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𝐿𝑦</m:t>
                                            </m:r>
                                          </m:den>
                                        </m:f>
                                      </m:e>
                                    </m:rad>
                                  </m:den>
                                </m:f>
                              </m:e>
                            </m:d>
                          </m:e>
                        </m:d>
                      </m:e>
                    </m:d>
                  </m:oMath>
                </m:oMathPara>
              </a14:m>
              <a:endParaRPr lang="pt-BR" sz="1050"/>
            </a:p>
          </xdr:txBody>
        </xdr:sp>
      </mc:Choice>
      <mc:Fallback xmlns="">
        <xdr:sp macro="" textlink="">
          <xdr:nvSpPr>
            <xdr:cNvPr id="22" name="CaixaDeTexto 21"/>
            <xdr:cNvSpPr txBox="1"/>
          </xdr:nvSpPr>
          <xdr:spPr>
            <a:xfrm>
              <a:off x="270062" y="11068050"/>
              <a:ext cx="5142379" cy="5202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050" b="0" i="0">
                  <a:latin typeface="Cambria Math" panose="02040503050406030204" pitchFamily="18" charset="0"/>
                </a:rPr>
                <a:t>𝑅𝑚=</a:t>
              </a:r>
              <a:r>
                <a:rPr lang="pt-BR" sz="105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𝜌𝑎{1/𝐿𝑡+1/√(20∗𝐿𝑥∗𝐿𝑦)∗[1+(1/(1+𝐻∗√(20/(𝐿𝑥∗𝐿𝑦))))]}</a:t>
              </a:r>
              <a:endParaRPr lang="pt-BR" sz="1050"/>
            </a:p>
          </xdr:txBody>
        </xdr:sp>
      </mc:Fallback>
    </mc:AlternateContent>
    <xdr:clientData/>
  </xdr:oneCellAnchor>
  <xdr:oneCellAnchor>
    <xdr:from>
      <xdr:col>2</xdr:col>
      <xdr:colOff>126625</xdr:colOff>
      <xdr:row>47</xdr:row>
      <xdr:rowOff>38097</xdr:rowOff>
    </xdr:from>
    <xdr:ext cx="4635875" cy="40235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aixaDeTexto 23"/>
            <xdr:cNvSpPr txBox="1"/>
          </xdr:nvSpPr>
          <xdr:spPr>
            <a:xfrm>
              <a:off x="821390" y="12342156"/>
              <a:ext cx="4635875" cy="40235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700" b="0" i="1">
                        <a:latin typeface="Cambria Math" panose="02040503050406030204" pitchFamily="18" charset="0"/>
                      </a:rPr>
                      <m:t>𝑅𝑚𝑢</m:t>
                    </m:r>
                    <m:r>
                      <a:rPr lang="pt-BR" sz="7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7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7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7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7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sub>
                        </m:sSub>
                      </m:num>
                      <m:den>
                        <m:r>
                          <a:rPr lang="pt-BR" sz="7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  <m:r>
                          <a:rPr lang="pt-BR" sz="7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r>
                          <a:rPr lang="pt-BR" sz="7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𝐿𝑡</m:t>
                        </m:r>
                      </m:den>
                    </m:f>
                    <m:r>
                      <a:rPr lang="pt-BR" sz="700" b="0" i="1">
                        <a:latin typeface="Cambria Math" panose="02040503050406030204" pitchFamily="18" charset="0"/>
                      </a:rPr>
                      <m:t>∗</m:t>
                    </m:r>
                    <m:d>
                      <m:dPr>
                        <m:begChr m:val="["/>
                        <m:endChr m:val="]"/>
                        <m:ctrlPr>
                          <a:rPr lang="pt-BR" sz="7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700" b="0" i="1">
                            <a:latin typeface="Cambria Math" panose="02040503050406030204" pitchFamily="18" charset="0"/>
                          </a:rPr>
                          <m:t>𝑙𝑛</m:t>
                        </m:r>
                        <m:d>
                          <m:dPr>
                            <m:ctrlPr>
                              <a:rPr lang="pt-BR" sz="7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2∗</m:t>
                                </m:r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𝐿𝑡</m:t>
                                </m:r>
                              </m:num>
                              <m:den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𝑁h</m:t>
                                </m:r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𝐿h</m:t>
                                </m:r>
                              </m:den>
                            </m:f>
                            <m:r>
                              <a:rPr lang="pt-BR" sz="7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d>
                                  <m:dPr>
                                    <m:ctrlPr>
                                      <a:rPr lang="pt-BR" sz="7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pt-BR" sz="9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1,14125−0,0425∗</m:t>
                                    </m:r>
                                    <m:f>
                                      <m:fPr>
                                        <m:ctrlP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𝐿𝑥</m:t>
                                        </m:r>
                                      </m:num>
                                      <m:den>
                                        <m:r>
                                          <a:rPr lang="pt-BR" sz="9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𝐿𝑦</m:t>
                                        </m:r>
                                      </m:den>
                                    </m:f>
                                  </m:e>
                                </m:d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  <m:t>𝐿𝑡</m:t>
                                </m:r>
                              </m:num>
                              <m:den>
                                <m:rad>
                                  <m:radPr>
                                    <m:degHide m:val="on"/>
                                    <m:ctrlPr>
                                      <a:rPr lang="pt-BR" sz="7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radPr>
                                  <m:deg/>
                                  <m:e>
                                    <m:r>
                                      <a:rPr lang="pt-BR" sz="700" b="0" i="1">
                                        <a:latin typeface="Cambria Math" panose="02040503050406030204" pitchFamily="18" charset="0"/>
                                      </a:rPr>
                                      <m:t>𝐿𝑥</m:t>
                                    </m:r>
                                    <m:r>
                                      <a:rPr lang="pt-BR" sz="700" b="0" i="1">
                                        <a:latin typeface="Cambria Math" panose="02040503050406030204" pitchFamily="18" charset="0"/>
                                      </a:rPr>
                                      <m:t>∗</m:t>
                                    </m:r>
                                    <m:r>
                                      <a:rPr lang="pt-BR" sz="700" b="0" i="1">
                                        <a:latin typeface="Cambria Math" panose="02040503050406030204" pitchFamily="18" charset="0"/>
                                      </a:rPr>
                                      <m:t>𝐿𝑦</m:t>
                                    </m:r>
                                  </m:e>
                                </m:rad>
                              </m:den>
                            </m:f>
                            <m:r>
                              <a:rPr lang="pt-BR" sz="7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d>
                              <m:dPr>
                                <m:ctrlPr>
                                  <a:rPr lang="pt-BR" sz="7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5,49−0,1443∗</m:t>
                                </m:r>
                                <m:f>
                                  <m:fPr>
                                    <m:ctrlP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𝐿𝑥</m:t>
                                    </m:r>
                                  </m:num>
                                  <m:den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𝐿𝑦</m:t>
                                    </m:r>
                                  </m:den>
                                </m:f>
                              </m:e>
                            </m:d>
                            <m:r>
                              <a:rPr lang="pt-BR" sz="700" b="0" i="1">
                                <a:latin typeface="Cambria Math" panose="02040503050406030204" pitchFamily="18" charset="0"/>
                              </a:rPr>
                              <m:t>+1</m:t>
                            </m:r>
                          </m:e>
                        </m:d>
                      </m:e>
                    </m:d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4" name="CaixaDeTexto 23"/>
            <xdr:cNvSpPr txBox="1"/>
          </xdr:nvSpPr>
          <xdr:spPr>
            <a:xfrm>
              <a:off x="821390" y="12342156"/>
              <a:ext cx="4635875" cy="40235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700" b="0" i="0">
                  <a:latin typeface="Cambria Math" panose="02040503050406030204" pitchFamily="18" charset="0"/>
                </a:rPr>
                <a:t>𝑅𝑚𝑢=</a:t>
              </a:r>
              <a:r>
                <a:rPr lang="pt-BR" sz="7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𝜌_</a:t>
              </a:r>
              <a:r>
                <a:rPr lang="pt-BR" sz="700" b="0" i="0">
                  <a:latin typeface="Cambria Math" panose="02040503050406030204" pitchFamily="18" charset="0"/>
                </a:rPr>
                <a:t>𝑎/(</a:t>
              </a:r>
              <a:r>
                <a:rPr lang="pt-BR" sz="7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𝜋∗𝐿𝑡)</a:t>
              </a:r>
              <a:r>
                <a:rPr lang="pt-BR" sz="700" b="0" i="0">
                  <a:latin typeface="Cambria Math" panose="02040503050406030204" pitchFamily="18" charset="0"/>
                </a:rPr>
                <a:t>∗[𝑙𝑛((2∗𝐿𝑡)/(𝑁ℎ∗𝐿ℎ)+((</a:t>
              </a:r>
              <a:r>
                <a:rPr lang="pt-B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1,14125−0,0425∗𝐿𝑥/𝐿𝑦)</a:t>
              </a:r>
              <a:r>
                <a:rPr lang="pt-BR" sz="700" b="0" i="0">
                  <a:latin typeface="Cambria Math" panose="02040503050406030204" pitchFamily="18" charset="0"/>
                </a:rPr>
                <a:t>∗𝐿𝑡)/√(𝐿𝑥∗𝐿𝑦)−(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5,49−0,1443∗𝐿𝑥/𝐿𝑦)</a:t>
              </a:r>
              <a:r>
                <a:rPr lang="pt-BR" sz="700" b="0" i="0">
                  <a:latin typeface="Cambria Math" panose="02040503050406030204" pitchFamily="18" charset="0"/>
                </a:rPr>
                <a:t>+1)]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1</xdr:col>
      <xdr:colOff>323850</xdr:colOff>
      <xdr:row>49</xdr:row>
      <xdr:rowOff>19050</xdr:rowOff>
    </xdr:from>
    <xdr:ext cx="1479571" cy="3683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aixaDeTexto 24"/>
            <xdr:cNvSpPr txBox="1"/>
          </xdr:nvSpPr>
          <xdr:spPr>
            <a:xfrm>
              <a:off x="666750" y="13525500"/>
              <a:ext cx="1479571" cy="3683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𝑅𝑡𝑚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𝑐𝑚</m:t>
                            </m:r>
                          </m:sub>
                        </m:s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sub>
                        </m:s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Sup>
                          <m:sSub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𝑚𝑢</m:t>
                            </m:r>
                          </m:sub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𝑐𝑚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𝑚𝑢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5" name="CaixaDeTexto 24"/>
            <xdr:cNvSpPr txBox="1"/>
          </xdr:nvSpPr>
          <xdr:spPr>
            <a:xfrm>
              <a:off x="666750" y="13525500"/>
              <a:ext cx="1479571" cy="3683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𝑅𝑡𝑚=(𝑅_𝑐𝑚∗𝑅_ℎ−𝑅_𝑚𝑢^2)/(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𝑅_𝑐𝑚+𝑅_ℎ−𝑅_𝑚𝑢 )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2</xdr:col>
      <xdr:colOff>80681</xdr:colOff>
      <xdr:row>42</xdr:row>
      <xdr:rowOff>7844</xdr:rowOff>
    </xdr:from>
    <xdr:ext cx="1265282" cy="185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aixaDeTexto 16"/>
            <xdr:cNvSpPr txBox="1"/>
          </xdr:nvSpPr>
          <xdr:spPr>
            <a:xfrm>
              <a:off x="775446" y="10743079"/>
              <a:ext cx="1265282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𝑆𝑚𝑖𝑛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𝐼𝑓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𝐾𝑓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ad>
                      <m:radPr>
                        <m:degHide m:val="on"/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7" name="CaixaDeTexto 16"/>
            <xdr:cNvSpPr txBox="1"/>
          </xdr:nvSpPr>
          <xdr:spPr>
            <a:xfrm>
              <a:off x="775446" y="10743079"/>
              <a:ext cx="1265282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𝑆𝑚𝑖𝑛=𝐼𝑓∗𝐾𝑓∗√𝑡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R62"/>
  <sheetViews>
    <sheetView tabSelected="1" view="pageLayout" topLeftCell="A4" zoomScale="85" zoomScaleNormal="100" zoomScalePageLayoutView="85" workbookViewId="0">
      <selection activeCell="G11" sqref="G11:N11"/>
    </sheetView>
  </sheetViews>
  <sheetFormatPr defaultColWidth="4.85546875" defaultRowHeight="15" x14ac:dyDescent="0.25"/>
  <cols>
    <col min="1" max="14" width="4.85546875" style="1"/>
    <col min="15" max="16" width="6.42578125" style="1" customWidth="1"/>
    <col min="17" max="16384" width="4.85546875" style="1"/>
  </cols>
  <sheetData>
    <row r="1" spans="1:18" x14ac:dyDescent="0.25">
      <c r="A1" s="16" t="s">
        <v>0</v>
      </c>
      <c r="B1" s="16"/>
      <c r="C1" s="16" t="s">
        <v>1</v>
      </c>
      <c r="D1" s="16"/>
      <c r="E1" s="16"/>
      <c r="F1" s="16"/>
      <c r="G1" s="16" t="s">
        <v>2</v>
      </c>
      <c r="H1" s="16"/>
      <c r="I1" s="16"/>
      <c r="J1" s="16"/>
      <c r="K1" s="16"/>
      <c r="L1" s="16"/>
      <c r="M1" s="16"/>
      <c r="N1" s="16"/>
      <c r="O1" s="18" t="s">
        <v>3</v>
      </c>
      <c r="P1" s="18"/>
      <c r="Q1" s="16" t="s">
        <v>4</v>
      </c>
      <c r="R1" s="16"/>
    </row>
    <row r="2" spans="1:18" ht="30" customHeight="1" x14ac:dyDescent="0.25">
      <c r="A2" s="19" t="s">
        <v>70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20"/>
    </row>
    <row r="3" spans="1:18" x14ac:dyDescent="0.25">
      <c r="A3" s="6" t="s">
        <v>18</v>
      </c>
      <c r="B3" s="5"/>
      <c r="C3" s="5"/>
      <c r="D3" s="5"/>
      <c r="E3" s="5"/>
      <c r="F3" s="5"/>
      <c r="G3" s="5" t="s">
        <v>21</v>
      </c>
      <c r="H3" s="5"/>
      <c r="I3" s="5"/>
      <c r="J3" s="5"/>
      <c r="K3" s="5"/>
      <c r="L3" s="5"/>
      <c r="M3" s="5"/>
      <c r="N3" s="5"/>
      <c r="O3" s="8">
        <v>200</v>
      </c>
      <c r="P3" s="8"/>
      <c r="Q3" s="5" t="s">
        <v>23</v>
      </c>
      <c r="R3" s="5"/>
    </row>
    <row r="4" spans="1:18" s="2" customFormat="1" x14ac:dyDescent="0.25">
      <c r="A4" s="5" t="s">
        <v>19</v>
      </c>
      <c r="B4" s="5"/>
      <c r="C4" s="5"/>
      <c r="D4" s="5"/>
      <c r="E4" s="5"/>
      <c r="F4" s="5"/>
      <c r="G4" s="5" t="s">
        <v>22</v>
      </c>
      <c r="H4" s="5"/>
      <c r="I4" s="5"/>
      <c r="J4" s="5"/>
      <c r="K4" s="5"/>
      <c r="L4" s="5"/>
      <c r="M4" s="5"/>
      <c r="N4" s="5"/>
      <c r="O4" s="8">
        <v>300</v>
      </c>
      <c r="P4" s="8"/>
      <c r="Q4" s="5" t="s">
        <v>23</v>
      </c>
      <c r="R4" s="5"/>
    </row>
    <row r="5" spans="1:18" s="2" customFormat="1" x14ac:dyDescent="0.25">
      <c r="A5" s="5" t="s">
        <v>20</v>
      </c>
      <c r="B5" s="5"/>
      <c r="C5" s="7" t="s">
        <v>113</v>
      </c>
      <c r="D5" s="7"/>
      <c r="E5" s="7"/>
      <c r="F5" s="7"/>
      <c r="G5" s="5" t="s">
        <v>84</v>
      </c>
      <c r="H5" s="5"/>
      <c r="I5" s="5"/>
      <c r="J5" s="5"/>
      <c r="K5" s="5"/>
      <c r="L5" s="5"/>
      <c r="M5" s="5"/>
      <c r="N5" s="5"/>
      <c r="O5" s="8">
        <v>3000</v>
      </c>
      <c r="P5" s="8"/>
      <c r="Q5" s="5" t="s">
        <v>23</v>
      </c>
      <c r="R5" s="5"/>
    </row>
    <row r="6" spans="1:18" s="2" customFormat="1" x14ac:dyDescent="0.25">
      <c r="A6" s="5" t="s">
        <v>83</v>
      </c>
      <c r="B6" s="5"/>
      <c r="C6" s="7" t="s">
        <v>114</v>
      </c>
      <c r="D6" s="7"/>
      <c r="E6" s="7"/>
      <c r="F6" s="7"/>
      <c r="G6" s="5" t="s">
        <v>115</v>
      </c>
      <c r="H6" s="5"/>
      <c r="I6" s="5"/>
      <c r="J6" s="5"/>
      <c r="K6" s="5"/>
      <c r="L6" s="5"/>
      <c r="M6" s="5"/>
      <c r="N6" s="5"/>
      <c r="O6" s="8">
        <v>250</v>
      </c>
      <c r="P6" s="8"/>
      <c r="Q6" s="5" t="s">
        <v>23</v>
      </c>
      <c r="R6" s="5"/>
    </row>
    <row r="7" spans="1:18" s="2" customFormat="1" x14ac:dyDescent="0.25">
      <c r="A7" s="5" t="s">
        <v>26</v>
      </c>
      <c r="B7" s="5"/>
      <c r="C7" s="5"/>
      <c r="D7" s="5"/>
      <c r="E7" s="5"/>
      <c r="F7" s="5"/>
      <c r="G7" s="5" t="s">
        <v>27</v>
      </c>
      <c r="H7" s="5"/>
      <c r="I7" s="5"/>
      <c r="J7" s="5"/>
      <c r="K7" s="5"/>
      <c r="L7" s="5"/>
      <c r="M7" s="5"/>
      <c r="N7" s="5"/>
      <c r="O7" s="8">
        <v>0.2</v>
      </c>
      <c r="P7" s="8"/>
      <c r="Q7" s="5" t="s">
        <v>28</v>
      </c>
      <c r="R7" s="5"/>
    </row>
    <row r="8" spans="1:18" s="2" customFormat="1" x14ac:dyDescent="0.25">
      <c r="A8" s="5" t="s">
        <v>42</v>
      </c>
      <c r="B8" s="5"/>
      <c r="C8" s="5"/>
      <c r="D8" s="5"/>
      <c r="E8" s="5"/>
      <c r="F8" s="5"/>
      <c r="G8" s="5" t="s">
        <v>41</v>
      </c>
      <c r="H8" s="5"/>
      <c r="I8" s="5"/>
      <c r="J8" s="5"/>
      <c r="K8" s="5"/>
      <c r="L8" s="5"/>
      <c r="M8" s="5"/>
      <c r="N8" s="5"/>
      <c r="O8" s="8">
        <v>0.5</v>
      </c>
      <c r="P8" s="8"/>
      <c r="Q8" s="5" t="s">
        <v>28</v>
      </c>
      <c r="R8" s="5"/>
    </row>
    <row r="9" spans="1:18" s="2" customFormat="1" x14ac:dyDescent="0.25">
      <c r="A9" s="5" t="s">
        <v>73</v>
      </c>
      <c r="B9" s="5"/>
      <c r="C9" s="5"/>
      <c r="D9" s="5"/>
      <c r="E9" s="5"/>
      <c r="F9" s="5"/>
      <c r="G9" s="5" t="s">
        <v>44</v>
      </c>
      <c r="H9" s="5"/>
      <c r="I9" s="5"/>
      <c r="J9" s="5"/>
      <c r="K9" s="5"/>
      <c r="L9" s="5"/>
      <c r="M9" s="5"/>
      <c r="N9" s="5"/>
      <c r="O9" s="8">
        <v>6</v>
      </c>
      <c r="P9" s="8"/>
      <c r="Q9" s="5" t="s">
        <v>28</v>
      </c>
      <c r="R9" s="5"/>
    </row>
    <row r="10" spans="1:18" s="2" customFormat="1" x14ac:dyDescent="0.25">
      <c r="A10" s="5" t="s">
        <v>74</v>
      </c>
      <c r="B10" s="5"/>
      <c r="C10" s="5"/>
      <c r="D10" s="5"/>
      <c r="E10" s="5"/>
      <c r="F10" s="5"/>
      <c r="G10" s="5" t="s">
        <v>46</v>
      </c>
      <c r="H10" s="5"/>
      <c r="I10" s="5"/>
      <c r="J10" s="5"/>
      <c r="K10" s="5"/>
      <c r="L10" s="5"/>
      <c r="M10" s="5"/>
      <c r="N10" s="5"/>
      <c r="O10" s="8">
        <v>3</v>
      </c>
      <c r="P10" s="8"/>
      <c r="Q10" s="5" t="s">
        <v>28</v>
      </c>
      <c r="R10" s="5"/>
    </row>
    <row r="11" spans="1:18" s="2" customFormat="1" x14ac:dyDescent="0.25">
      <c r="A11" s="5" t="s">
        <v>47</v>
      </c>
      <c r="B11" s="5"/>
      <c r="C11" s="5"/>
      <c r="D11" s="5"/>
      <c r="E11" s="5"/>
      <c r="F11" s="5"/>
      <c r="G11" s="5" t="s">
        <v>49</v>
      </c>
      <c r="H11" s="5"/>
      <c r="I11" s="5"/>
      <c r="J11" s="5"/>
      <c r="K11" s="5"/>
      <c r="L11" s="5"/>
      <c r="M11" s="5"/>
      <c r="N11" s="5"/>
      <c r="O11" s="8">
        <v>3</v>
      </c>
      <c r="P11" s="8"/>
      <c r="Q11" s="5"/>
      <c r="R11" s="5"/>
    </row>
    <row r="12" spans="1:18" s="2" customFormat="1" x14ac:dyDescent="0.25">
      <c r="A12" s="5" t="s">
        <v>48</v>
      </c>
      <c r="B12" s="5"/>
      <c r="C12" s="5"/>
      <c r="D12" s="5"/>
      <c r="E12" s="5"/>
      <c r="F12" s="5"/>
      <c r="G12" s="5" t="s">
        <v>50</v>
      </c>
      <c r="H12" s="5"/>
      <c r="I12" s="5"/>
      <c r="J12" s="5"/>
      <c r="K12" s="5"/>
      <c r="L12" s="5"/>
      <c r="M12" s="5"/>
      <c r="N12" s="5"/>
      <c r="O12" s="8">
        <v>2</v>
      </c>
      <c r="P12" s="8"/>
      <c r="Q12" s="5"/>
      <c r="R12" s="5"/>
    </row>
    <row r="13" spans="1:18" s="2" customFormat="1" x14ac:dyDescent="0.25">
      <c r="A13" s="5" t="s">
        <v>55</v>
      </c>
      <c r="B13" s="5"/>
      <c r="C13" s="5" t="s">
        <v>112</v>
      </c>
      <c r="D13" s="5"/>
      <c r="E13" s="5"/>
      <c r="F13" s="5"/>
      <c r="G13" s="5" t="s">
        <v>56</v>
      </c>
      <c r="H13" s="5"/>
      <c r="I13" s="5"/>
      <c r="J13" s="5"/>
      <c r="K13" s="5"/>
      <c r="L13" s="5"/>
      <c r="M13" s="5"/>
      <c r="N13" s="5"/>
      <c r="O13" s="22">
        <v>1.4330000000000001E-2</v>
      </c>
      <c r="P13" s="22"/>
      <c r="Q13" s="5" t="s">
        <v>28</v>
      </c>
      <c r="R13" s="5"/>
    </row>
    <row r="14" spans="1:18" s="2" customFormat="1" x14ac:dyDescent="0.25">
      <c r="A14" s="5" t="s">
        <v>90</v>
      </c>
      <c r="B14" s="5"/>
      <c r="C14" s="5"/>
      <c r="D14" s="5"/>
      <c r="E14" s="5"/>
      <c r="F14" s="5"/>
      <c r="G14" s="5" t="s">
        <v>92</v>
      </c>
      <c r="H14" s="5"/>
      <c r="I14" s="5"/>
      <c r="J14" s="5"/>
      <c r="K14" s="5"/>
      <c r="L14" s="5"/>
      <c r="M14" s="5"/>
      <c r="N14" s="5"/>
      <c r="O14" s="8">
        <v>6</v>
      </c>
      <c r="P14" s="8"/>
      <c r="Q14" s="5"/>
      <c r="R14" s="5"/>
    </row>
    <row r="15" spans="1:18" s="2" customFormat="1" x14ac:dyDescent="0.25">
      <c r="A15" s="5" t="s">
        <v>91</v>
      </c>
      <c r="B15" s="5"/>
      <c r="C15" s="5"/>
      <c r="D15" s="5"/>
      <c r="E15" s="5"/>
      <c r="F15" s="5"/>
      <c r="G15" s="5" t="s">
        <v>93</v>
      </c>
      <c r="H15" s="5"/>
      <c r="I15" s="5"/>
      <c r="J15" s="5"/>
      <c r="K15" s="5"/>
      <c r="L15" s="5"/>
      <c r="M15" s="5"/>
      <c r="N15" s="5"/>
      <c r="O15" s="8">
        <v>2.4</v>
      </c>
      <c r="P15" s="8"/>
      <c r="Q15" s="5" t="s">
        <v>28</v>
      </c>
      <c r="R15" s="5"/>
    </row>
    <row r="16" spans="1:18" s="2" customFormat="1" x14ac:dyDescent="0.25">
      <c r="A16" s="5" t="s">
        <v>9</v>
      </c>
      <c r="B16" s="5"/>
      <c r="C16" s="5"/>
      <c r="D16" s="5"/>
      <c r="E16" s="5"/>
      <c r="F16" s="5"/>
      <c r="G16" s="5" t="s">
        <v>10</v>
      </c>
      <c r="H16" s="5"/>
      <c r="I16" s="5"/>
      <c r="J16" s="5"/>
      <c r="K16" s="5"/>
      <c r="L16" s="5"/>
      <c r="M16" s="5"/>
      <c r="N16" s="5"/>
      <c r="O16" s="8">
        <v>0.05</v>
      </c>
      <c r="P16" s="8"/>
      <c r="Q16" s="5" t="s">
        <v>11</v>
      </c>
      <c r="R16" s="5"/>
    </row>
    <row r="17" spans="1:18" s="2" customFormat="1" x14ac:dyDescent="0.25">
      <c r="A17" s="5" t="s">
        <v>14</v>
      </c>
      <c r="B17" s="5"/>
      <c r="C17" s="7" t="s">
        <v>71</v>
      </c>
      <c r="D17" s="7"/>
      <c r="E17" s="7"/>
      <c r="F17" s="7"/>
      <c r="G17" s="5" t="s">
        <v>15</v>
      </c>
      <c r="H17" s="5"/>
      <c r="I17" s="5"/>
      <c r="J17" s="5"/>
      <c r="K17" s="5"/>
      <c r="L17" s="5"/>
      <c r="M17" s="5"/>
      <c r="N17" s="5"/>
      <c r="O17" s="8">
        <v>1000</v>
      </c>
      <c r="P17" s="8"/>
      <c r="Q17" s="6" t="s">
        <v>16</v>
      </c>
      <c r="R17" s="5"/>
    </row>
    <row r="18" spans="1:18" s="2" customFormat="1" x14ac:dyDescent="0.25">
      <c r="A18" s="5" t="s">
        <v>117</v>
      </c>
      <c r="B18" s="5"/>
      <c r="C18" s="5"/>
      <c r="D18" s="5"/>
      <c r="E18" s="5"/>
      <c r="F18" s="5"/>
      <c r="G18" s="5" t="s">
        <v>40</v>
      </c>
      <c r="H18" s="5"/>
      <c r="I18" s="5"/>
      <c r="J18" s="5"/>
      <c r="K18" s="5"/>
      <c r="L18" s="5"/>
      <c r="M18" s="5"/>
      <c r="N18" s="5"/>
      <c r="O18" s="8">
        <v>200</v>
      </c>
      <c r="P18" s="8"/>
      <c r="Q18" s="5" t="s">
        <v>6</v>
      </c>
      <c r="R18" s="5"/>
    </row>
    <row r="19" spans="1:18" s="2" customFormat="1" x14ac:dyDescent="0.25">
      <c r="A19" s="5" t="s">
        <v>118</v>
      </c>
      <c r="B19" s="5"/>
      <c r="C19" s="7" t="s">
        <v>119</v>
      </c>
      <c r="D19" s="7"/>
      <c r="E19" s="7"/>
      <c r="F19" s="7"/>
      <c r="G19" s="5" t="s">
        <v>61</v>
      </c>
      <c r="H19" s="5"/>
      <c r="I19" s="5"/>
      <c r="J19" s="5"/>
      <c r="K19" s="5"/>
      <c r="L19" s="5"/>
      <c r="M19" s="5"/>
      <c r="N19" s="5"/>
      <c r="O19" s="8">
        <v>0.06</v>
      </c>
      <c r="P19" s="8"/>
      <c r="Q19" s="5" t="s">
        <v>6</v>
      </c>
      <c r="R19" s="5"/>
    </row>
    <row r="20" spans="1:18" ht="30" customHeight="1" x14ac:dyDescent="0.25">
      <c r="A20" s="16" t="s">
        <v>36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ht="32.25" customHeight="1" x14ac:dyDescent="0.25">
      <c r="A21" s="5" t="s">
        <v>7</v>
      </c>
      <c r="B21" s="5"/>
      <c r="C21" s="5"/>
      <c r="D21" s="5"/>
      <c r="E21" s="5"/>
      <c r="F21" s="5"/>
      <c r="G21" s="5" t="s">
        <v>8</v>
      </c>
      <c r="H21" s="5"/>
      <c r="I21" s="5"/>
      <c r="J21" s="5"/>
      <c r="K21" s="5"/>
      <c r="L21" s="5"/>
      <c r="M21" s="5"/>
      <c r="N21" s="5"/>
      <c r="O21" s="13">
        <f>0.116/SQRT(O16)</f>
        <v>0.51876777077995129</v>
      </c>
      <c r="P21" s="13"/>
      <c r="Q21" s="5" t="s">
        <v>6</v>
      </c>
      <c r="R21" s="5"/>
    </row>
    <row r="22" spans="1:18" s="2" customFormat="1" ht="39.75" customHeight="1" x14ac:dyDescent="0.25">
      <c r="A22" s="5" t="s">
        <v>24</v>
      </c>
      <c r="B22" s="5"/>
      <c r="C22" s="5"/>
      <c r="D22" s="5"/>
      <c r="E22" s="5"/>
      <c r="F22" s="5"/>
      <c r="G22" s="5" t="s">
        <v>25</v>
      </c>
      <c r="H22" s="5"/>
      <c r="I22" s="5"/>
      <c r="J22" s="5"/>
      <c r="K22" s="5"/>
      <c r="L22" s="5"/>
      <c r="M22" s="5"/>
      <c r="N22" s="5"/>
      <c r="O22" s="13">
        <f>1-(0.106*((1-(O3/O5))/(2*O7+0.106)))</f>
        <v>0.80447957839262185</v>
      </c>
      <c r="P22" s="13"/>
      <c r="Q22" s="5"/>
      <c r="R22" s="5"/>
    </row>
    <row r="23" spans="1:18" s="2" customFormat="1" ht="33.75" customHeight="1" x14ac:dyDescent="0.25">
      <c r="A23" s="5" t="s">
        <v>17</v>
      </c>
      <c r="B23" s="5"/>
      <c r="C23" s="5"/>
      <c r="D23" s="5"/>
      <c r="E23" s="5"/>
      <c r="F23" s="5"/>
      <c r="G23" s="5" t="s">
        <v>31</v>
      </c>
      <c r="H23" s="5"/>
      <c r="I23" s="5"/>
      <c r="J23" s="5"/>
      <c r="K23" s="5"/>
      <c r="L23" s="5"/>
      <c r="M23" s="5"/>
      <c r="N23" s="5"/>
      <c r="O23" s="13">
        <f>(O5/0.332)*O22</f>
        <v>7269.3937806562217</v>
      </c>
      <c r="P23" s="13"/>
      <c r="Q23" s="5" t="s">
        <v>16</v>
      </c>
      <c r="R23" s="5"/>
    </row>
    <row r="24" spans="1:18" s="2" customFormat="1" ht="30.75" customHeight="1" x14ac:dyDescent="0.25">
      <c r="A24" s="5" t="s">
        <v>29</v>
      </c>
      <c r="B24" s="5"/>
      <c r="C24" s="5"/>
      <c r="D24" s="5"/>
      <c r="E24" s="5"/>
      <c r="F24" s="5"/>
      <c r="G24" s="5" t="s">
        <v>30</v>
      </c>
      <c r="H24" s="5"/>
      <c r="I24" s="5"/>
      <c r="J24" s="5"/>
      <c r="K24" s="5"/>
      <c r="L24" s="5"/>
      <c r="M24" s="5"/>
      <c r="N24" s="5"/>
      <c r="O24" s="14">
        <f>(O5)/(2*PI()*O23)</f>
        <v>6.5681519488766008E-2</v>
      </c>
      <c r="P24" s="14"/>
      <c r="Q24" s="5" t="s">
        <v>16</v>
      </c>
      <c r="R24" s="5"/>
    </row>
    <row r="25" spans="1:18" x14ac:dyDescent="0.25">
      <c r="A25" s="5" t="s">
        <v>12</v>
      </c>
      <c r="B25" s="5"/>
      <c r="C25" s="5"/>
      <c r="D25" s="5"/>
      <c r="E25" s="5"/>
      <c r="F25" s="5"/>
      <c r="G25" s="5" t="s">
        <v>13</v>
      </c>
      <c r="H25" s="5"/>
      <c r="I25" s="5"/>
      <c r="J25" s="5"/>
      <c r="K25" s="5"/>
      <c r="L25" s="5"/>
      <c r="M25" s="5"/>
      <c r="N25" s="5"/>
      <c r="O25" s="17">
        <f>(O17+6*O5*O22)*O21</f>
        <v>8030.8531661531906</v>
      </c>
      <c r="P25" s="17"/>
      <c r="Q25" s="5" t="s">
        <v>5</v>
      </c>
      <c r="R25" s="5"/>
    </row>
    <row r="26" spans="1:18" ht="39" customHeight="1" x14ac:dyDescent="0.25">
      <c r="A26" s="5" t="s">
        <v>32</v>
      </c>
      <c r="B26" s="5"/>
      <c r="C26" s="5"/>
      <c r="D26" s="5"/>
      <c r="E26" s="5"/>
      <c r="F26" s="5"/>
      <c r="G26" s="5" t="s">
        <v>34</v>
      </c>
      <c r="H26" s="5"/>
      <c r="I26" s="5"/>
      <c r="J26" s="5"/>
      <c r="K26" s="5"/>
      <c r="L26" s="5"/>
      <c r="M26" s="5"/>
      <c r="N26" s="5"/>
      <c r="O26" s="17">
        <f>O17+((O23+O24)/2)*O21</f>
        <v>2885.5806399840585</v>
      </c>
      <c r="P26" s="17"/>
      <c r="Q26" s="5" t="s">
        <v>5</v>
      </c>
      <c r="R26" s="5"/>
    </row>
    <row r="27" spans="1:18" ht="39" customHeight="1" x14ac:dyDescent="0.25">
      <c r="A27" s="5" t="s">
        <v>33</v>
      </c>
      <c r="B27" s="5"/>
      <c r="C27" s="5"/>
      <c r="D27" s="5"/>
      <c r="E27" s="5"/>
      <c r="F27" s="5"/>
      <c r="G27" s="5" t="s">
        <v>35</v>
      </c>
      <c r="H27" s="5"/>
      <c r="I27" s="5"/>
      <c r="J27" s="5"/>
      <c r="K27" s="5"/>
      <c r="L27" s="5"/>
      <c r="M27" s="5"/>
      <c r="N27" s="5"/>
      <c r="O27" s="17">
        <f>O17+((O23+O24)/2)*O19</f>
        <v>1218.0837838652712</v>
      </c>
      <c r="P27" s="17"/>
      <c r="Q27" s="5" t="s">
        <v>5</v>
      </c>
      <c r="R27" s="5"/>
    </row>
    <row r="28" spans="1:18" ht="30" customHeight="1" x14ac:dyDescent="0.25">
      <c r="A28" s="16" t="s">
        <v>37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s="2" customFormat="1" x14ac:dyDescent="0.25">
      <c r="A29" s="6" t="s">
        <v>38</v>
      </c>
      <c r="B29" s="5"/>
      <c r="C29" s="7" t="s">
        <v>72</v>
      </c>
      <c r="D29" s="7"/>
      <c r="E29" s="7"/>
      <c r="F29" s="7"/>
      <c r="G29" s="5" t="s">
        <v>39</v>
      </c>
      <c r="H29" s="5"/>
      <c r="I29" s="5"/>
      <c r="J29" s="5"/>
      <c r="K29" s="5"/>
      <c r="L29" s="5"/>
      <c r="M29" s="5"/>
      <c r="N29" s="5"/>
      <c r="O29" s="8">
        <f>IF(O3&gt;O4,O3,O6)</f>
        <v>250</v>
      </c>
      <c r="P29" s="8"/>
      <c r="Q29" s="6" t="s">
        <v>16</v>
      </c>
      <c r="R29" s="5"/>
    </row>
    <row r="30" spans="1:18" s="2" customFormat="1" x14ac:dyDescent="0.25">
      <c r="A30" s="5" t="s">
        <v>43</v>
      </c>
      <c r="B30" s="5"/>
      <c r="C30" s="5" t="s">
        <v>75</v>
      </c>
      <c r="D30" s="5"/>
      <c r="E30" s="5"/>
      <c r="F30" s="5"/>
      <c r="G30" s="5" t="s">
        <v>51</v>
      </c>
      <c r="H30" s="5"/>
      <c r="I30" s="5"/>
      <c r="J30" s="5"/>
      <c r="K30" s="5"/>
      <c r="L30" s="5"/>
      <c r="M30" s="5"/>
      <c r="N30" s="5"/>
      <c r="O30" s="8">
        <f>O9/(O11-1)</f>
        <v>3</v>
      </c>
      <c r="P30" s="8"/>
      <c r="Q30" s="5" t="s">
        <v>28</v>
      </c>
      <c r="R30" s="5"/>
    </row>
    <row r="31" spans="1:18" s="2" customFormat="1" x14ac:dyDescent="0.25">
      <c r="A31" s="6" t="s">
        <v>45</v>
      </c>
      <c r="B31" s="5"/>
      <c r="C31" s="5" t="s">
        <v>76</v>
      </c>
      <c r="D31" s="5"/>
      <c r="E31" s="5"/>
      <c r="F31" s="5"/>
      <c r="G31" s="5" t="s">
        <v>52</v>
      </c>
      <c r="H31" s="5"/>
      <c r="I31" s="5"/>
      <c r="J31" s="5"/>
      <c r="K31" s="5"/>
      <c r="L31" s="5"/>
      <c r="M31" s="5"/>
      <c r="N31" s="5"/>
      <c r="O31" s="8">
        <f>O10/(O12-1)</f>
        <v>3</v>
      </c>
      <c r="P31" s="8"/>
      <c r="Q31" s="6" t="s">
        <v>28</v>
      </c>
      <c r="R31" s="5"/>
    </row>
    <row r="32" spans="1:18" s="2" customFormat="1" x14ac:dyDescent="0.25">
      <c r="A32" s="6" t="s">
        <v>106</v>
      </c>
      <c r="B32" s="5"/>
      <c r="C32" s="7" t="s">
        <v>107</v>
      </c>
      <c r="D32" s="7"/>
      <c r="E32" s="7"/>
      <c r="F32" s="7"/>
      <c r="G32" s="5" t="s">
        <v>108</v>
      </c>
      <c r="H32" s="5"/>
      <c r="I32" s="5"/>
      <c r="J32" s="5"/>
      <c r="K32" s="5"/>
      <c r="L32" s="5"/>
      <c r="M32" s="5"/>
      <c r="N32" s="5"/>
      <c r="O32" s="8">
        <v>3.8</v>
      </c>
      <c r="P32" s="8"/>
      <c r="Q32" s="6"/>
      <c r="R32" s="5"/>
    </row>
    <row r="33" spans="1:18" s="2" customFormat="1" x14ac:dyDescent="0.25">
      <c r="A33" s="6" t="s">
        <v>53</v>
      </c>
      <c r="B33" s="5"/>
      <c r="C33" s="5" t="s">
        <v>77</v>
      </c>
      <c r="D33" s="5"/>
      <c r="E33" s="5"/>
      <c r="F33" s="5"/>
      <c r="G33" s="9" t="s">
        <v>54</v>
      </c>
      <c r="H33" s="9"/>
      <c r="I33" s="9"/>
      <c r="J33" s="9"/>
      <c r="K33" s="9"/>
      <c r="L33" s="9"/>
      <c r="M33" s="9"/>
      <c r="N33" s="9"/>
      <c r="O33" s="8">
        <f>O9*O12+O10*O11</f>
        <v>21</v>
      </c>
      <c r="P33" s="8"/>
      <c r="Q33" s="6" t="s">
        <v>28</v>
      </c>
      <c r="R33" s="5"/>
    </row>
    <row r="34" spans="1:18" s="2" customFormat="1" x14ac:dyDescent="0.25">
      <c r="A34" s="6" t="s">
        <v>57</v>
      </c>
      <c r="B34" s="5"/>
      <c r="C34" s="5" t="s">
        <v>68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8">
        <f>0.656+0.172*LARGE(O11:P12,1)</f>
        <v>1.1720000000000002</v>
      </c>
      <c r="P34" s="8"/>
      <c r="Q34" s="6"/>
      <c r="R34" s="5"/>
    </row>
    <row r="35" spans="1:18" s="2" customFormat="1" x14ac:dyDescent="0.25">
      <c r="A35" s="6" t="s">
        <v>58</v>
      </c>
      <c r="B35" s="5"/>
      <c r="C35" s="5" t="s">
        <v>69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>
        <v>1</v>
      </c>
      <c r="P35" s="5"/>
      <c r="Q35" s="6"/>
      <c r="R35" s="5"/>
    </row>
    <row r="36" spans="1:18" x14ac:dyDescent="0.25">
      <c r="A36" s="8" t="s">
        <v>64</v>
      </c>
      <c r="B36" s="8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5">
        <f>(1/(2*PI()))*(LN((O30/(16*O8*O13))+((O30+2*O8)^2/(8*O30*O13))-(O8/(4*O13)))+((O35/SQRT(1+O8))*LN(8/(PI()*(2*O11-1)))))</f>
        <v>0.5741477932301674</v>
      </c>
      <c r="P36" s="15"/>
      <c r="Q36" s="5"/>
      <c r="R36" s="5"/>
    </row>
    <row r="37" spans="1:18" s="2" customFormat="1" x14ac:dyDescent="0.25">
      <c r="A37" s="11" t="s">
        <v>65</v>
      </c>
      <c r="B37" s="11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5">
        <f>(1/(2*PI()))*(LN((O31/(16*O8*O13))+((O31+2*O8)^2/(8*O31*O13))-(O8/(4*O13)))+((O35/SQRT(1+O8))*LN(8/(PI()*(2*O12-1)))))</f>
        <v>0.64052931070325747</v>
      </c>
      <c r="P37" s="15"/>
      <c r="Q37" s="5"/>
      <c r="R37" s="5"/>
    </row>
    <row r="38" spans="1:18" s="2" customFormat="1" ht="31.5" customHeight="1" x14ac:dyDescent="0.25">
      <c r="A38" s="11" t="s">
        <v>59</v>
      </c>
      <c r="B38" s="11"/>
      <c r="C38" s="11"/>
      <c r="D38" s="11"/>
      <c r="E38" s="11"/>
      <c r="F38" s="11"/>
      <c r="G38" s="11" t="s">
        <v>67</v>
      </c>
      <c r="H38" s="11"/>
      <c r="I38" s="11"/>
      <c r="J38" s="11"/>
      <c r="K38" s="11"/>
      <c r="L38" s="11"/>
      <c r="M38" s="11"/>
      <c r="N38" s="11"/>
      <c r="O38" s="17">
        <f>(O29*O18*LARGE(O36:P37,1)*O34)/O33</f>
        <v>1787.3817908195665</v>
      </c>
      <c r="P38" s="17"/>
      <c r="Q38" s="5" t="s">
        <v>5</v>
      </c>
      <c r="R38" s="5"/>
    </row>
    <row r="39" spans="1:18" ht="30" customHeight="1" x14ac:dyDescent="0.25">
      <c r="A39" s="5" t="s">
        <v>59</v>
      </c>
      <c r="B39" s="5"/>
      <c r="C39" s="5"/>
      <c r="D39" s="5"/>
      <c r="E39" s="5"/>
      <c r="F39" s="5"/>
      <c r="G39" s="5" t="s">
        <v>60</v>
      </c>
      <c r="H39" s="5"/>
      <c r="I39" s="5"/>
      <c r="J39" s="5"/>
      <c r="K39" s="5"/>
      <c r="L39" s="5"/>
      <c r="M39" s="5"/>
      <c r="N39" s="5"/>
      <c r="O39" s="13">
        <f>(O29*O19*LARGE(O36:P37,1)*O34)/O33</f>
        <v>0.53621453724586987</v>
      </c>
      <c r="P39" s="13"/>
      <c r="Q39" s="5" t="s">
        <v>5</v>
      </c>
      <c r="R39" s="5"/>
    </row>
    <row r="40" spans="1:18" x14ac:dyDescent="0.25">
      <c r="A40" s="5" t="s">
        <v>66</v>
      </c>
      <c r="B40" s="5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4">
        <f>(1/PI())*((1/(2*O8))+(1/(O30+O8))+((1/O30)*(1-0.5^(O9-2))))</f>
        <v>0.50872740738302258</v>
      </c>
      <c r="P40" s="14"/>
      <c r="Q40" s="5"/>
      <c r="R40" s="5"/>
    </row>
    <row r="41" spans="1:18" s="2" customFormat="1" x14ac:dyDescent="0.25">
      <c r="A41" s="5" t="s">
        <v>78</v>
      </c>
      <c r="B41" s="5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15">
        <f>(1/PI())*((1/(2*O8))+(1/(O31+O8))+((1/O31)*(1-0.5^(O10-2))))</f>
        <v>0.46230721564788646</v>
      </c>
      <c r="P41" s="15"/>
      <c r="Q41" s="5"/>
      <c r="R41" s="5"/>
    </row>
    <row r="42" spans="1:18" ht="29.25" customHeight="1" x14ac:dyDescent="0.25">
      <c r="A42" s="5" t="s">
        <v>62</v>
      </c>
      <c r="B42" s="5"/>
      <c r="C42" s="5"/>
      <c r="D42" s="5"/>
      <c r="E42" s="5"/>
      <c r="F42" s="5"/>
      <c r="G42" s="5" t="s">
        <v>63</v>
      </c>
      <c r="H42" s="5"/>
      <c r="I42" s="5"/>
      <c r="J42" s="5"/>
      <c r="K42" s="5"/>
      <c r="L42" s="5"/>
      <c r="M42" s="5"/>
      <c r="N42" s="5"/>
      <c r="O42" s="13">
        <f>(O29*O19*LARGE(O40:P41,1)*O34)/O33</f>
        <v>0.42587751532350182</v>
      </c>
      <c r="P42" s="13"/>
      <c r="Q42" s="5" t="s">
        <v>5</v>
      </c>
      <c r="R42" s="5"/>
    </row>
    <row r="43" spans="1:18" s="2" customFormat="1" x14ac:dyDescent="0.25">
      <c r="A43" s="5" t="s">
        <v>104</v>
      </c>
      <c r="B43" s="5"/>
      <c r="C43" s="5"/>
      <c r="D43" s="5"/>
      <c r="E43" s="5"/>
      <c r="F43" s="5"/>
      <c r="G43" s="5" t="s">
        <v>109</v>
      </c>
      <c r="H43" s="5"/>
      <c r="I43" s="5"/>
      <c r="J43" s="5"/>
      <c r="K43" s="5"/>
      <c r="L43" s="5"/>
      <c r="M43" s="5"/>
      <c r="N43" s="5"/>
      <c r="O43" s="13">
        <f>(O18/1000)*O32*SQRT(O16)</f>
        <v>0.16994116628998401</v>
      </c>
      <c r="P43" s="13"/>
      <c r="Q43" s="5" t="s">
        <v>105</v>
      </c>
      <c r="R43" s="5"/>
    </row>
    <row r="44" spans="1:18" s="2" customFormat="1" ht="30" customHeight="1" x14ac:dyDescent="0.25">
      <c r="A44" s="11" t="s">
        <v>80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</row>
    <row r="45" spans="1:18" s="2" customFormat="1" ht="45.75" customHeight="1" x14ac:dyDescent="0.25">
      <c r="A45" s="11" t="s">
        <v>81</v>
      </c>
      <c r="B45" s="11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</row>
    <row r="46" spans="1:18" s="2" customFormat="1" x14ac:dyDescent="0.25">
      <c r="A46" s="8"/>
      <c r="B46" s="8"/>
      <c r="C46" s="8"/>
      <c r="D46" s="8"/>
      <c r="E46" s="8"/>
      <c r="F46" s="8"/>
      <c r="G46" s="8" t="s">
        <v>82</v>
      </c>
      <c r="H46" s="8"/>
      <c r="I46" s="8"/>
      <c r="J46" s="8"/>
      <c r="K46" s="8"/>
      <c r="L46" s="8"/>
      <c r="M46" s="8"/>
      <c r="N46" s="8"/>
      <c r="O46" s="17">
        <f>O6*((1/O33)+((1/SQRT(20*O9*O10))*(1+(1/(1+O8*SQRT(20/(O9*O10)))))))</f>
        <v>33.70944378464003</v>
      </c>
      <c r="P46" s="17"/>
      <c r="Q46" s="8" t="s">
        <v>16</v>
      </c>
      <c r="R46" s="8"/>
    </row>
    <row r="47" spans="1:18" s="2" customFormat="1" x14ac:dyDescent="0.25">
      <c r="A47" s="11" t="s">
        <v>85</v>
      </c>
      <c r="B47" s="11"/>
      <c r="C47" s="11" t="s">
        <v>87</v>
      </c>
      <c r="D47" s="11"/>
      <c r="E47" s="11"/>
      <c r="F47" s="11"/>
      <c r="G47" s="11" t="s">
        <v>86</v>
      </c>
      <c r="H47" s="11"/>
      <c r="I47" s="11"/>
      <c r="J47" s="11"/>
      <c r="K47" s="11"/>
      <c r="L47" s="11"/>
      <c r="M47" s="11"/>
      <c r="N47" s="11"/>
      <c r="O47" s="10">
        <v>27.6</v>
      </c>
      <c r="P47" s="10"/>
      <c r="Q47" s="11" t="s">
        <v>16</v>
      </c>
      <c r="R47" s="11"/>
    </row>
    <row r="48" spans="1:18" s="2" customFormat="1" ht="39.75" customHeight="1" x14ac:dyDescent="0.25">
      <c r="A48" s="11" t="s">
        <v>88</v>
      </c>
      <c r="B48" s="11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</row>
    <row r="49" spans="1:18" s="2" customFormat="1" x14ac:dyDescent="0.25">
      <c r="A49" s="8"/>
      <c r="B49" s="8"/>
      <c r="C49" s="21" t="s">
        <v>89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17">
        <f>(O6/(PI()*O33))*LN(((2*O33)/(O14*O15))+(((1.14125-0.0425*(O9/O10))*(O33))/SQRT(O9*O10))-(5.49-0.1443*(O9/O10))+1)</f>
        <v>5.1992615060673701</v>
      </c>
      <c r="P49" s="17"/>
      <c r="Q49" s="8" t="s">
        <v>16</v>
      </c>
      <c r="R49" s="8"/>
    </row>
    <row r="50" spans="1:18" s="2" customFormat="1" ht="33.75" customHeight="1" x14ac:dyDescent="0.25">
      <c r="A50" s="5" t="s">
        <v>94</v>
      </c>
      <c r="B50" s="5"/>
      <c r="C50" s="5"/>
      <c r="D50" s="5"/>
      <c r="E50" s="5"/>
      <c r="F50" s="5"/>
      <c r="G50" s="5" t="s">
        <v>95</v>
      </c>
      <c r="H50" s="5"/>
      <c r="I50" s="5"/>
      <c r="J50" s="5"/>
      <c r="K50" s="5"/>
      <c r="L50" s="5"/>
      <c r="M50" s="5"/>
      <c r="N50" s="5"/>
      <c r="O50" s="17">
        <f>(O46*O47-O49^2)/(O46+O47-O49)</f>
        <v>16.099543640095451</v>
      </c>
      <c r="P50" s="17"/>
      <c r="Q50" s="5" t="s">
        <v>16</v>
      </c>
      <c r="R50" s="5"/>
    </row>
    <row r="51" spans="1:18" ht="30" customHeight="1" x14ac:dyDescent="0.25">
      <c r="A51" s="16" t="s">
        <v>79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</row>
    <row r="52" spans="1:18" x14ac:dyDescent="0.25">
      <c r="A52" s="5" t="s">
        <v>96</v>
      </c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8" t="s">
        <v>97</v>
      </c>
      <c r="P52" s="8"/>
      <c r="Q52" s="9" t="str">
        <f>IF(O25&gt;O42,"Verdadeiro","Falso")</f>
        <v>Verdadeiro</v>
      </c>
      <c r="R52" s="9"/>
    </row>
    <row r="53" spans="1:18" x14ac:dyDescent="0.25">
      <c r="A53" s="5" t="s">
        <v>99</v>
      </c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8" t="s">
        <v>98</v>
      </c>
      <c r="P53" s="8"/>
      <c r="Q53" s="9" t="str">
        <f>IF(O26&gt;O38,"Verdadeiro","Falso")</f>
        <v>Verdadeiro</v>
      </c>
      <c r="R53" s="9"/>
    </row>
    <row r="54" spans="1:18" x14ac:dyDescent="0.25">
      <c r="A54" s="5" t="s">
        <v>100</v>
      </c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8" t="s">
        <v>101</v>
      </c>
      <c r="P54" s="8"/>
      <c r="Q54" s="9" t="str">
        <f>IF(O27&gt;O39,"Verdadeiro","Falso")</f>
        <v>Verdadeiro</v>
      </c>
      <c r="R54" s="9"/>
    </row>
    <row r="55" spans="1:18" s="2" customFormat="1" x14ac:dyDescent="0.25">
      <c r="A55" s="5" t="s">
        <v>110</v>
      </c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8" t="s">
        <v>111</v>
      </c>
      <c r="P55" s="8"/>
      <c r="Q55" s="9" t="str">
        <f>IF(O43&lt;50,"Verdadeiro","Falso")</f>
        <v>Verdadeiro</v>
      </c>
      <c r="R55" s="9"/>
    </row>
    <row r="56" spans="1:18" ht="30" customHeight="1" x14ac:dyDescent="0.25">
      <c r="A56" s="12" t="s">
        <v>103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</row>
    <row r="57" spans="1:18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1:18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1:18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1:18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1:18" x14ac:dyDescent="0.25">
      <c r="A61" s="4" t="s">
        <v>102</v>
      </c>
    </row>
    <row r="62" spans="1:18" x14ac:dyDescent="0.25">
      <c r="A62" s="4" t="s">
        <v>116</v>
      </c>
    </row>
  </sheetData>
  <mergeCells count="237">
    <mergeCell ref="Q11:R11"/>
    <mergeCell ref="A12:B12"/>
    <mergeCell ref="C12:F12"/>
    <mergeCell ref="G12:N12"/>
    <mergeCell ref="O12:P12"/>
    <mergeCell ref="Q12:R12"/>
    <mergeCell ref="Q23:R23"/>
    <mergeCell ref="A24:B24"/>
    <mergeCell ref="C24:F24"/>
    <mergeCell ref="G24:N24"/>
    <mergeCell ref="Q29:R29"/>
    <mergeCell ref="Q27:R27"/>
    <mergeCell ref="O26:P26"/>
    <mergeCell ref="Q26:R26"/>
    <mergeCell ref="O27:P27"/>
    <mergeCell ref="Q19:R19"/>
    <mergeCell ref="A29:B29"/>
    <mergeCell ref="C29:F29"/>
    <mergeCell ref="G29:N29"/>
    <mergeCell ref="O29:P29"/>
    <mergeCell ref="A28:R28"/>
    <mergeCell ref="O34:P34"/>
    <mergeCell ref="Q34:R34"/>
    <mergeCell ref="A35:B35"/>
    <mergeCell ref="O35:P35"/>
    <mergeCell ref="Q35:R35"/>
    <mergeCell ref="C34:N34"/>
    <mergeCell ref="C35:N35"/>
    <mergeCell ref="A33:B33"/>
    <mergeCell ref="C33:F33"/>
    <mergeCell ref="G33:N33"/>
    <mergeCell ref="A8:B8"/>
    <mergeCell ref="C8:F8"/>
    <mergeCell ref="G8:N8"/>
    <mergeCell ref="O8:P8"/>
    <mergeCell ref="Q8:R8"/>
    <mergeCell ref="O24:P24"/>
    <mergeCell ref="Q24:R24"/>
    <mergeCell ref="O23:P23"/>
    <mergeCell ref="A15:B15"/>
    <mergeCell ref="C15:F15"/>
    <mergeCell ref="G15:N15"/>
    <mergeCell ref="O15:P15"/>
    <mergeCell ref="Q15:R15"/>
    <mergeCell ref="Q9:R9"/>
    <mergeCell ref="A10:B10"/>
    <mergeCell ref="C10:F10"/>
    <mergeCell ref="G10:N10"/>
    <mergeCell ref="O10:P10"/>
    <mergeCell ref="Q10:R10"/>
    <mergeCell ref="G21:N21"/>
    <mergeCell ref="O21:P21"/>
    <mergeCell ref="Q21:R21"/>
    <mergeCell ref="A16:B16"/>
    <mergeCell ref="O19:P19"/>
    <mergeCell ref="A30:B30"/>
    <mergeCell ref="C30:F30"/>
    <mergeCell ref="G30:N30"/>
    <mergeCell ref="O30:P30"/>
    <mergeCell ref="Q30:R30"/>
    <mergeCell ref="A9:B9"/>
    <mergeCell ref="C9:F9"/>
    <mergeCell ref="G9:N9"/>
    <mergeCell ref="O9:P9"/>
    <mergeCell ref="G19:N19"/>
    <mergeCell ref="A25:B25"/>
    <mergeCell ref="C25:F25"/>
    <mergeCell ref="G25:N25"/>
    <mergeCell ref="O25:P25"/>
    <mergeCell ref="A11:B11"/>
    <mergeCell ref="C11:F11"/>
    <mergeCell ref="G11:N11"/>
    <mergeCell ref="O11:P11"/>
    <mergeCell ref="G23:N23"/>
    <mergeCell ref="A13:B13"/>
    <mergeCell ref="C13:F13"/>
    <mergeCell ref="G13:N13"/>
    <mergeCell ref="O13:P13"/>
    <mergeCell ref="Q13:R13"/>
    <mergeCell ref="G16:N16"/>
    <mergeCell ref="O16:P16"/>
    <mergeCell ref="A20:R20"/>
    <mergeCell ref="A17:B17"/>
    <mergeCell ref="C17:F17"/>
    <mergeCell ref="G17:N17"/>
    <mergeCell ref="O17:P17"/>
    <mergeCell ref="Q17:R17"/>
    <mergeCell ref="A18:B18"/>
    <mergeCell ref="C18:F18"/>
    <mergeCell ref="G18:N18"/>
    <mergeCell ref="O18:P18"/>
    <mergeCell ref="Q18:R18"/>
    <mergeCell ref="A19:B19"/>
    <mergeCell ref="C19:F19"/>
    <mergeCell ref="O49:P49"/>
    <mergeCell ref="Q49:R49"/>
    <mergeCell ref="A50:B50"/>
    <mergeCell ref="C50:F50"/>
    <mergeCell ref="G50:N50"/>
    <mergeCell ref="O50:P50"/>
    <mergeCell ref="Q50:R50"/>
    <mergeCell ref="A44:R44"/>
    <mergeCell ref="A43:B43"/>
    <mergeCell ref="C43:F43"/>
    <mergeCell ref="A48:B48"/>
    <mergeCell ref="C49:N49"/>
    <mergeCell ref="A45:B45"/>
    <mergeCell ref="C31:F31"/>
    <mergeCell ref="G31:N31"/>
    <mergeCell ref="Q1:R1"/>
    <mergeCell ref="A3:B3"/>
    <mergeCell ref="C3:F3"/>
    <mergeCell ref="G3:N3"/>
    <mergeCell ref="O3:P3"/>
    <mergeCell ref="Q3:R3"/>
    <mergeCell ref="A1:B1"/>
    <mergeCell ref="C1:F1"/>
    <mergeCell ref="G1:N1"/>
    <mergeCell ref="O1:P1"/>
    <mergeCell ref="A2:R2"/>
    <mergeCell ref="A26:B26"/>
    <mergeCell ref="C26:F26"/>
    <mergeCell ref="G26:N26"/>
    <mergeCell ref="A27:B27"/>
    <mergeCell ref="C27:F27"/>
    <mergeCell ref="G27:N27"/>
    <mergeCell ref="Q16:R16"/>
    <mergeCell ref="A21:B21"/>
    <mergeCell ref="C21:F21"/>
    <mergeCell ref="O31:P31"/>
    <mergeCell ref="C16:F16"/>
    <mergeCell ref="Q31:R31"/>
    <mergeCell ref="A34:B34"/>
    <mergeCell ref="G36:N36"/>
    <mergeCell ref="O36:P36"/>
    <mergeCell ref="Q36:R36"/>
    <mergeCell ref="O39:P39"/>
    <mergeCell ref="Q39:R39"/>
    <mergeCell ref="A39:B39"/>
    <mergeCell ref="C39:F39"/>
    <mergeCell ref="G39:N39"/>
    <mergeCell ref="A38:B38"/>
    <mergeCell ref="C38:F38"/>
    <mergeCell ref="G38:N38"/>
    <mergeCell ref="O38:P38"/>
    <mergeCell ref="Q38:R38"/>
    <mergeCell ref="A37:B37"/>
    <mergeCell ref="C37:F37"/>
    <mergeCell ref="G37:N37"/>
    <mergeCell ref="O37:P37"/>
    <mergeCell ref="Q37:R37"/>
    <mergeCell ref="O33:P33"/>
    <mergeCell ref="Q33:R33"/>
    <mergeCell ref="A36:B36"/>
    <mergeCell ref="A31:B31"/>
    <mergeCell ref="A54:N54"/>
    <mergeCell ref="O40:P40"/>
    <mergeCell ref="O42:P42"/>
    <mergeCell ref="G42:N42"/>
    <mergeCell ref="Q42:R42"/>
    <mergeCell ref="A40:B40"/>
    <mergeCell ref="C40:F40"/>
    <mergeCell ref="G40:N40"/>
    <mergeCell ref="Q40:R40"/>
    <mergeCell ref="A41:B41"/>
    <mergeCell ref="C41:F41"/>
    <mergeCell ref="G41:N41"/>
    <mergeCell ref="O41:P41"/>
    <mergeCell ref="Q41:R41"/>
    <mergeCell ref="A51:R51"/>
    <mergeCell ref="O46:P46"/>
    <mergeCell ref="Q46:R46"/>
    <mergeCell ref="O47:P47"/>
    <mergeCell ref="Q47:R47"/>
    <mergeCell ref="A49:B49"/>
    <mergeCell ref="G43:N43"/>
    <mergeCell ref="O43:P43"/>
    <mergeCell ref="A52:N52"/>
    <mergeCell ref="A53:N53"/>
    <mergeCell ref="A4:B4"/>
    <mergeCell ref="C4:F4"/>
    <mergeCell ref="G4:N4"/>
    <mergeCell ref="O4:P4"/>
    <mergeCell ref="Q4:R4"/>
    <mergeCell ref="A5:B5"/>
    <mergeCell ref="C5:F5"/>
    <mergeCell ref="G5:N5"/>
    <mergeCell ref="O5:P5"/>
    <mergeCell ref="Q5:R5"/>
    <mergeCell ref="A56:R56"/>
    <mergeCell ref="A6:B6"/>
    <mergeCell ref="C6:F6"/>
    <mergeCell ref="G6:N6"/>
    <mergeCell ref="O6:P6"/>
    <mergeCell ref="Q6:R6"/>
    <mergeCell ref="A14:B14"/>
    <mergeCell ref="C14:F14"/>
    <mergeCell ref="G14:N14"/>
    <mergeCell ref="O14:P14"/>
    <mergeCell ref="Q14:R14"/>
    <mergeCell ref="Q7:R7"/>
    <mergeCell ref="Q25:R25"/>
    <mergeCell ref="A22:B22"/>
    <mergeCell ref="C22:F22"/>
    <mergeCell ref="G22:N22"/>
    <mergeCell ref="O22:P22"/>
    <mergeCell ref="Q22:R22"/>
    <mergeCell ref="A7:B7"/>
    <mergeCell ref="C7:F7"/>
    <mergeCell ref="G7:N7"/>
    <mergeCell ref="O7:P7"/>
    <mergeCell ref="A23:B23"/>
    <mergeCell ref="C23:F23"/>
    <mergeCell ref="Q43:R43"/>
    <mergeCell ref="A32:B32"/>
    <mergeCell ref="C32:F32"/>
    <mergeCell ref="G32:N32"/>
    <mergeCell ref="O32:P32"/>
    <mergeCell ref="Q32:R32"/>
    <mergeCell ref="A55:N55"/>
    <mergeCell ref="O55:P55"/>
    <mergeCell ref="Q55:R55"/>
    <mergeCell ref="C36:F36"/>
    <mergeCell ref="A47:B47"/>
    <mergeCell ref="C47:F47"/>
    <mergeCell ref="G47:N47"/>
    <mergeCell ref="Q53:R53"/>
    <mergeCell ref="A46:B46"/>
    <mergeCell ref="C46:F46"/>
    <mergeCell ref="G46:N46"/>
    <mergeCell ref="Q52:R52"/>
    <mergeCell ref="A42:B42"/>
    <mergeCell ref="C42:F42"/>
    <mergeCell ref="O52:P52"/>
    <mergeCell ref="O53:P53"/>
    <mergeCell ref="O54:P54"/>
    <mergeCell ref="Q54:R54"/>
  </mergeCells>
  <pageMargins left="0.511811024" right="0.511811024" top="0.50245098039215685" bottom="0.6740196078431373" header="0.31496062000000002" footer="0.31496062000000002"/>
  <pageSetup paperSize="9" orientation="portrait" verticalDpi="1200" r:id="rId1"/>
  <headerFooter>
    <oddFooter>&amp;RPágina &amp;P/&amp;N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Jéfferson</dc:creator>
  <cp:lastModifiedBy>Jéfferson</cp:lastModifiedBy>
  <cp:lastPrinted>2021-08-09T00:31:09Z</cp:lastPrinted>
  <dcterms:created xsi:type="dcterms:W3CDTF">2020-12-06T20:08:06Z</dcterms:created>
  <dcterms:modified xsi:type="dcterms:W3CDTF">2021-08-09T00:32:57Z</dcterms:modified>
</cp:coreProperties>
</file>